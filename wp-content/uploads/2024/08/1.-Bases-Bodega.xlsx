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58bfa4c6263f528/1. AIRIÑOS GASTRO Desarrollo/7. Gestión de SALA/"/>
    </mc:Choice>
  </mc:AlternateContent>
  <xr:revisionPtr revIDLastSave="1" documentId="13_ncr:1_{1C8867E1-B9C5-48F4-892C-CEB05BBCA19F}" xr6:coauthVersionLast="47" xr6:coauthVersionMax="47" xr10:uidLastSave="{1714CBB6-DD39-4D6C-AF06-E4F2B904A461}"/>
  <bookViews>
    <workbookView xWindow="-120" yWindow="-120" windowWidth="29040" windowHeight="15840" activeTab="1" xr2:uid="{00000000-000D-0000-FFFF-FFFF00000000}"/>
  </bookViews>
  <sheets>
    <sheet name="BASE VINOS (PVP)" sheetId="3" r:id="rId1"/>
    <sheet name="BASE VINOS" sheetId="2" r:id="rId2"/>
  </sheets>
  <externalReferences>
    <externalReference r:id="rId3"/>
    <externalReference r:id="rId4"/>
  </externalReferences>
  <definedNames>
    <definedName name="CPROFESIONAL">[1]LISTAS!$D$2:$D$6</definedName>
    <definedName name="GCOTIZACION">[2]LISTAS!$E$2:$E$12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1" i="2" l="1"/>
  <c r="AA14" i="2"/>
  <c r="AA15" i="2"/>
  <c r="AA16" i="2"/>
  <c r="AA17" i="2"/>
  <c r="AA18" i="2"/>
  <c r="AA19" i="2"/>
  <c r="AA20" i="2"/>
  <c r="X14" i="2"/>
  <c r="X15" i="2"/>
  <c r="X16" i="2"/>
  <c r="X17" i="2"/>
  <c r="X18" i="2"/>
  <c r="X19" i="2"/>
  <c r="X20" i="2"/>
  <c r="Z3" i="2"/>
  <c r="X55" i="2"/>
  <c r="AA55" i="2" s="1"/>
  <c r="X54" i="2"/>
  <c r="AA54" i="2" s="1"/>
  <c r="X47" i="2"/>
  <c r="AA47" i="2" s="1"/>
  <c r="X46" i="2"/>
  <c r="AA46" i="2" s="1"/>
  <c r="X45" i="2"/>
  <c r="Y45" i="2" s="1"/>
  <c r="X44" i="2"/>
  <c r="AA44" i="2" s="1"/>
  <c r="X43" i="2"/>
  <c r="Y43" i="2" s="1"/>
  <c r="X42" i="2"/>
  <c r="AA42" i="2" s="1"/>
  <c r="X41" i="2"/>
  <c r="AA41" i="2" s="1"/>
  <c r="X40" i="2"/>
  <c r="AA40" i="2" s="1"/>
  <c r="X12" i="2"/>
  <c r="AA12" i="2" s="1"/>
  <c r="X11" i="2"/>
  <c r="AA11" i="2" s="1"/>
  <c r="X10" i="2"/>
  <c r="AA10" i="2" s="1"/>
  <c r="X31" i="2"/>
  <c r="AA31" i="2" s="1"/>
  <c r="X30" i="2"/>
  <c r="Y30" i="2" s="1"/>
  <c r="X29" i="2"/>
  <c r="AA29" i="2" s="1"/>
  <c r="X23" i="2"/>
  <c r="Y23" i="2" s="1"/>
  <c r="X24" i="2"/>
  <c r="AA24" i="2" s="1"/>
  <c r="X25" i="2"/>
  <c r="Y25" i="2" s="1"/>
  <c r="AA25" i="2"/>
  <c r="X26" i="2"/>
  <c r="AA26" i="2" s="1"/>
  <c r="X9" i="2"/>
  <c r="AA9" i="2" s="1"/>
  <c r="X39" i="2"/>
  <c r="AA39" i="2" s="1"/>
  <c r="X38" i="2"/>
  <c r="AA38" i="2" s="1"/>
  <c r="X37" i="2"/>
  <c r="AA37" i="2" s="1"/>
  <c r="X36" i="2"/>
  <c r="Y36" i="2" s="1"/>
  <c r="X35" i="2"/>
  <c r="AA35" i="2" s="1"/>
  <c r="X28" i="2"/>
  <c r="AA28" i="2" s="1"/>
  <c r="X27" i="2"/>
  <c r="AA27" i="2" s="1"/>
  <c r="X50" i="2"/>
  <c r="AA50" i="2" s="1"/>
  <c r="X8" i="2"/>
  <c r="Y8" i="2" s="1"/>
  <c r="X7" i="2"/>
  <c r="Y7" i="2" s="1"/>
  <c r="X6" i="2"/>
  <c r="Y6" i="2" s="1"/>
  <c r="X52" i="2"/>
  <c r="AA52" i="2" s="1"/>
  <c r="X5" i="2"/>
  <c r="AA5" i="2" s="1"/>
  <c r="I34" i="2"/>
  <c r="X4" i="2"/>
  <c r="Y4" i="2" s="1"/>
  <c r="Q3" i="2"/>
  <c r="H3" i="2"/>
  <c r="F5" i="2"/>
  <c r="G5" i="2" s="1"/>
  <c r="F3" i="3"/>
  <c r="A3" i="3"/>
  <c r="J3" i="2"/>
  <c r="F51" i="2"/>
  <c r="G51" i="2" s="1"/>
  <c r="F52" i="2"/>
  <c r="G52" i="2" s="1"/>
  <c r="O49" i="2"/>
  <c r="P49" i="2" s="1"/>
  <c r="O50" i="2"/>
  <c r="O53" i="2"/>
  <c r="P53" i="2" s="1"/>
  <c r="O54" i="2"/>
  <c r="P54" i="2" s="1"/>
  <c r="O55" i="2"/>
  <c r="P55" i="2" s="1"/>
  <c r="F50" i="2"/>
  <c r="G50" i="2" s="1"/>
  <c r="O10" i="2"/>
  <c r="P10" i="2" s="1"/>
  <c r="O13" i="2"/>
  <c r="P13" i="2" s="1"/>
  <c r="O14" i="2"/>
  <c r="P14" i="2" s="1"/>
  <c r="O15" i="2"/>
  <c r="P15" i="2" s="1"/>
  <c r="O16" i="2"/>
  <c r="P16" i="2" s="1"/>
  <c r="O19" i="2"/>
  <c r="P19" i="2" s="1"/>
  <c r="O22" i="2"/>
  <c r="P22" i="2" s="1"/>
  <c r="O25" i="2"/>
  <c r="P25" i="2" s="1"/>
  <c r="O26" i="2"/>
  <c r="P26" i="2" s="1"/>
  <c r="O27" i="2"/>
  <c r="P27" i="2" s="1"/>
  <c r="O28" i="2"/>
  <c r="P28" i="2" s="1"/>
  <c r="O29" i="2"/>
  <c r="O30" i="2"/>
  <c r="O31" i="2"/>
  <c r="O32" i="2"/>
  <c r="O33" i="2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O41" i="2"/>
  <c r="O42" i="2"/>
  <c r="F40" i="2"/>
  <c r="G40" i="2" s="1"/>
  <c r="O5" i="2"/>
  <c r="P5" i="2" s="1"/>
  <c r="O6" i="2"/>
  <c r="P6" i="2" s="1"/>
  <c r="O7" i="2"/>
  <c r="O4" i="2"/>
  <c r="P4" i="2" s="1"/>
  <c r="A3" i="2"/>
  <c r="F41" i="2"/>
  <c r="G41" i="2" s="1"/>
  <c r="F42" i="2"/>
  <c r="G42" i="2" s="1"/>
  <c r="F45" i="2"/>
  <c r="F46" i="2"/>
  <c r="F37" i="2"/>
  <c r="G37" i="2" s="1"/>
  <c r="F34" i="2"/>
  <c r="G34" i="2" s="1"/>
  <c r="F15" i="2"/>
  <c r="G15" i="2" s="1"/>
  <c r="F29" i="2"/>
  <c r="G29" i="2" s="1"/>
  <c r="F30" i="2"/>
  <c r="G30" i="2" s="1"/>
  <c r="F33" i="2"/>
  <c r="G33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F25" i="2"/>
  <c r="F26" i="2"/>
  <c r="F14" i="2"/>
  <c r="G14" i="2" s="1"/>
  <c r="F6" i="2"/>
  <c r="G6" i="2" s="1"/>
  <c r="F7" i="2"/>
  <c r="G7" i="2" s="1"/>
  <c r="F8" i="2"/>
  <c r="G8" i="2" s="1"/>
  <c r="F11" i="2"/>
  <c r="F9" i="2"/>
  <c r="G9" i="2" s="1"/>
  <c r="F10" i="2"/>
  <c r="G10" i="2" s="1"/>
  <c r="F4" i="2"/>
  <c r="G4" i="2" s="1"/>
  <c r="Y41" i="2" l="1"/>
  <c r="I18" i="2"/>
  <c r="AA36" i="2"/>
  <c r="AA43" i="2"/>
  <c r="Y55" i="2"/>
  <c r="Y54" i="2"/>
  <c r="Y47" i="2"/>
  <c r="AA45" i="2"/>
  <c r="Y44" i="2"/>
  <c r="Y46" i="2"/>
  <c r="Y12" i="2"/>
  <c r="AA30" i="2"/>
  <c r="Y24" i="2"/>
  <c r="I52" i="2"/>
  <c r="Y26" i="2"/>
  <c r="Y42" i="2"/>
  <c r="Y40" i="2"/>
  <c r="R36" i="2"/>
  <c r="R22" i="2"/>
  <c r="R5" i="2"/>
  <c r="Y27" i="2"/>
  <c r="Y10" i="2"/>
  <c r="Y11" i="2"/>
  <c r="Y31" i="2"/>
  <c r="Y29" i="2"/>
  <c r="AA23" i="2"/>
  <c r="AA32" i="2" s="1"/>
  <c r="Y9" i="2"/>
  <c r="Y39" i="2"/>
  <c r="Y38" i="2"/>
  <c r="Y35" i="2"/>
  <c r="Y37" i="2"/>
  <c r="Y28" i="2"/>
  <c r="I4" i="2"/>
  <c r="I50" i="2"/>
  <c r="I29" i="2"/>
  <c r="I14" i="2"/>
  <c r="R35" i="2"/>
  <c r="R19" i="2"/>
  <c r="I8" i="2"/>
  <c r="I42" i="2"/>
  <c r="I23" i="2"/>
  <c r="R4" i="2"/>
  <c r="R34" i="2"/>
  <c r="R15" i="2"/>
  <c r="AA8" i="2"/>
  <c r="I6" i="2"/>
  <c r="I41" i="2"/>
  <c r="I22" i="2"/>
  <c r="R39" i="2"/>
  <c r="R27" i="2"/>
  <c r="R14" i="2"/>
  <c r="I5" i="2"/>
  <c r="I40" i="2"/>
  <c r="I20" i="2"/>
  <c r="R38" i="2"/>
  <c r="R26" i="2"/>
  <c r="R13" i="2"/>
  <c r="I37" i="2"/>
  <c r="I19" i="2"/>
  <c r="R37" i="2"/>
  <c r="R25" i="2"/>
  <c r="R10" i="2"/>
  <c r="AA6" i="2"/>
  <c r="Y50" i="2"/>
  <c r="AA7" i="2"/>
  <c r="Y52" i="2"/>
  <c r="Y5" i="2"/>
  <c r="AA4" i="2"/>
  <c r="AA48" i="2" l="1"/>
</calcChain>
</file>

<file path=xl/sharedStrings.xml><?xml version="1.0" encoding="utf-8"?>
<sst xmlns="http://schemas.openxmlformats.org/spreadsheetml/2006/main" count="373" uniqueCount="106">
  <si>
    <t>D.O.  VALDEORRAS</t>
  </si>
  <si>
    <t xml:space="preserve">D.O.  RIAS BAIXAS (Albariño) </t>
  </si>
  <si>
    <t xml:space="preserve">Pazo de Rubianes </t>
  </si>
  <si>
    <t>Mar de Frades</t>
  </si>
  <si>
    <t>Viña Costeira</t>
  </si>
  <si>
    <t xml:space="preserve">D.O.  RUEDA </t>
  </si>
  <si>
    <t>Habla de ti</t>
  </si>
  <si>
    <t>Habla del mar</t>
  </si>
  <si>
    <t>VINOS ROSADOS</t>
  </si>
  <si>
    <t>Gran Feudo</t>
  </si>
  <si>
    <t>Ramón Bilbao Rosado</t>
  </si>
  <si>
    <t>A.O.C. CHAMPAGNE</t>
  </si>
  <si>
    <t>Moet &amp; Chandon Brut Imperial</t>
  </si>
  <si>
    <t>D.O. CAVA</t>
  </si>
  <si>
    <t>Juve &amp; Camps Reserva de Familia</t>
  </si>
  <si>
    <t>Pere Ventura Tresor GR 2016</t>
  </si>
  <si>
    <t>Juve &amp; Camps Milesime Brut Reserva</t>
  </si>
  <si>
    <t>OTROS ESPUMOSOS</t>
  </si>
  <si>
    <t>D.O. RIBERA DEL DUERO</t>
  </si>
  <si>
    <t>Pruno</t>
  </si>
  <si>
    <t>Pago de Carraovejas Crianza</t>
  </si>
  <si>
    <t>D.O.CA. RIOJA</t>
  </si>
  <si>
    <t>Luis Cañas Reserva</t>
  </si>
  <si>
    <t>200 Monges Reserva 2011</t>
  </si>
  <si>
    <t>D.O. VALDEORRAS</t>
  </si>
  <si>
    <t xml:space="preserve">D.O.  RIBEIRO </t>
  </si>
  <si>
    <t>D.O. MADRID</t>
  </si>
  <si>
    <t>DITEMA</t>
  </si>
  <si>
    <t>VINOMIA</t>
  </si>
  <si>
    <t>D.O.  RIBERA SACRA</t>
  </si>
  <si>
    <t>PIFEMA</t>
  </si>
  <si>
    <t>D.O.  MONTERREI</t>
  </si>
  <si>
    <t>CLANDEVINOS</t>
  </si>
  <si>
    <t>D. NAVARRO</t>
  </si>
  <si>
    <t>VINUM NOBILE</t>
  </si>
  <si>
    <t>VINARIO</t>
  </si>
  <si>
    <t>BODEGAS HABLA</t>
  </si>
  <si>
    <t>3 BARRICAS</t>
  </si>
  <si>
    <t>JUVE&amp;Camps</t>
  </si>
  <si>
    <t>MUNDELA</t>
  </si>
  <si>
    <t>BEBIDAS</t>
  </si>
  <si>
    <t>CAVINSA</t>
  </si>
  <si>
    <t>Muga Reserva 2015</t>
  </si>
  <si>
    <t>Habla Nª  21</t>
  </si>
  <si>
    <t>Carta Marina</t>
  </si>
  <si>
    <t>VINIGALICIA</t>
  </si>
  <si>
    <t>Mar del Norte</t>
  </si>
  <si>
    <t>Anadigma</t>
  </si>
  <si>
    <t>Veral de Aimar</t>
  </si>
  <si>
    <t>SABOR</t>
  </si>
  <si>
    <t>Terras Gauda</t>
  </si>
  <si>
    <t>Viña Amoeriro</t>
  </si>
  <si>
    <t xml:space="preserve">Terrada </t>
  </si>
  <si>
    <t>Marques de Sanfiz</t>
  </si>
  <si>
    <t xml:space="preserve">Cunqueiro III </t>
  </si>
  <si>
    <t>Cunqueiro blanco (Coupage)</t>
  </si>
  <si>
    <t>Mais de Cunqueiro (Ribeiro)</t>
  </si>
  <si>
    <t>Mais de Cunqueiro (Godello)</t>
  </si>
  <si>
    <t>BOUQUET</t>
  </si>
  <si>
    <t>Lagar de Deuses (Godello)</t>
  </si>
  <si>
    <t>Casa de Outeiro - Origen (Godello)</t>
  </si>
  <si>
    <t>Via Romana Añada</t>
  </si>
  <si>
    <t>Alto de Bocelo</t>
  </si>
  <si>
    <t>Verdes Castros</t>
  </si>
  <si>
    <t>Abrecaminos</t>
  </si>
  <si>
    <t>I.X.P. VAL DO MIÑO</t>
  </si>
  <si>
    <t>Terras Mancas</t>
  </si>
  <si>
    <t>Villamayor (Verdejo)</t>
  </si>
  <si>
    <t>Ramón Bilbao (Verdejo)</t>
  </si>
  <si>
    <t>D.O. MONTERREI</t>
  </si>
  <si>
    <t>Casal do Vila (Palomino y Torronte)</t>
  </si>
  <si>
    <t>Lagar de Deuses (Mencia )</t>
  </si>
  <si>
    <t>Alto do Bocelo</t>
  </si>
  <si>
    <t>Querote</t>
  </si>
  <si>
    <t>Cepas Vellas</t>
  </si>
  <si>
    <t>D.O. RIBEIRO</t>
  </si>
  <si>
    <t>Casal do Vila (Mencia)</t>
  </si>
  <si>
    <t>D.O. RIBERA SACRA</t>
  </si>
  <si>
    <t>Casa de Outeiro - Identidad (Mencia)</t>
  </si>
  <si>
    <t>Via Romana - Añada (Mencia)</t>
  </si>
  <si>
    <t>Pena do corvo</t>
  </si>
  <si>
    <t>Verdes Castros (Mencia)</t>
  </si>
  <si>
    <t>Glorioso Crianza</t>
  </si>
  <si>
    <t>Glorioso Crianza - MAGNUM</t>
  </si>
  <si>
    <t>Ramon Bilbao Crianza</t>
  </si>
  <si>
    <t>Villamayor (Verdejo) - MAGNUM</t>
  </si>
  <si>
    <t>Villamayor Roble</t>
  </si>
  <si>
    <t xml:space="preserve">Lagrimas de María Reserva </t>
  </si>
  <si>
    <t>Villamayor Roble - MAGNUM</t>
  </si>
  <si>
    <t xml:space="preserve">Villamayor Crianza </t>
  </si>
  <si>
    <t xml:space="preserve">Pago de los Capellanes Crianza </t>
  </si>
  <si>
    <t>Corimbo</t>
  </si>
  <si>
    <t>Tomas Postigo</t>
  </si>
  <si>
    <t>Maleolus</t>
  </si>
  <si>
    <t>Peñascal</t>
  </si>
  <si>
    <t>Via Romana - Barrica (Mencia)</t>
  </si>
  <si>
    <t>Tagonius roble</t>
  </si>
  <si>
    <t>Paco &amp; Lola</t>
  </si>
  <si>
    <t>LICORES ESTRELIÑA</t>
  </si>
  <si>
    <t>Aguardiente Orujo 70 cl.</t>
  </si>
  <si>
    <t>Licor de hierbas</t>
  </si>
  <si>
    <t>Licor de café</t>
  </si>
  <si>
    <t>Crema de licor</t>
  </si>
  <si>
    <t>Aguardiente  PET 3litros</t>
  </si>
  <si>
    <t>Crema de licor  PET 3litros</t>
  </si>
  <si>
    <t>Licor de hierbas PET 3litros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</si>
</sst>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€&quot;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Abadi"/>
      <family val="2"/>
    </font>
    <font>
      <sz val="11"/>
      <color theme="1"/>
      <name val="Abadi"/>
      <family val="2"/>
    </font>
    <font>
      <b/>
      <sz val="14"/>
      <color theme="1"/>
      <name val="Abadi"/>
      <family val="2"/>
    </font>
    <font>
      <b/>
      <sz val="11"/>
      <color theme="1"/>
      <name val="Abadi"/>
      <family val="2"/>
    </font>
    <font>
      <b/>
      <sz val="12"/>
      <color theme="1"/>
      <name val="Calibri"/>
      <family val="2"/>
      <scheme val="minor"/>
    </font>
    <font>
      <b/>
      <u/>
      <sz val="26"/>
      <color rgb="FF000066"/>
      <name val="Abadi"/>
      <family val="2"/>
    </font>
    <font>
      <sz val="14"/>
      <color theme="1"/>
      <name val="Abadi"/>
      <family val="2"/>
    </font>
    <font>
      <u/>
      <sz val="26"/>
      <color rgb="FF000066"/>
      <name val="Abad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badi"/>
      <family val="2"/>
    </font>
    <font>
      <b/>
      <sz val="16"/>
      <color theme="1"/>
      <name val="Abad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8">
    <xf numFmtId="0" fontId="0" fillId="0" borderId="0" xfId="0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164" fontId="4" fillId="0" borderId="0" xfId="0" applyNumberFormat="1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/>
    <xf numFmtId="164" fontId="6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2" fontId="6" fillId="7" borderId="0" xfId="0" applyNumberFormat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164" fontId="6" fillId="8" borderId="0" xfId="0" applyNumberFormat="1" applyFont="1" applyFill="1" applyAlignment="1">
      <alignment vertical="center"/>
    </xf>
    <xf numFmtId="2" fontId="4" fillId="8" borderId="0" xfId="0" applyNumberFormat="1" applyFont="1" applyFill="1" applyAlignment="1">
      <alignment vertical="center"/>
    </xf>
    <xf numFmtId="1" fontId="0" fillId="0" borderId="0" xfId="0" applyNumberFormat="1"/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/>
    <xf numFmtId="1" fontId="4" fillId="0" borderId="0" xfId="0" applyNumberFormat="1" applyFont="1" applyAlignment="1">
      <alignment vertical="center"/>
    </xf>
    <xf numFmtId="1" fontId="7" fillId="0" borderId="0" xfId="0" applyNumberFormat="1" applyFont="1"/>
    <xf numFmtId="0" fontId="4" fillId="8" borderId="0" xfId="0" applyFont="1" applyFill="1" applyAlignment="1">
      <alignment horizontal="right"/>
    </xf>
    <xf numFmtId="2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2" fontId="6" fillId="7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164" fontId="6" fillId="0" borderId="1" xfId="0" applyNumberFormat="1" applyFont="1" applyBorder="1"/>
    <xf numFmtId="2" fontId="4" fillId="0" borderId="1" xfId="0" applyNumberFormat="1" applyFont="1" applyBorder="1"/>
    <xf numFmtId="164" fontId="4" fillId="0" borderId="1" xfId="0" applyNumberFormat="1" applyFont="1" applyBorder="1"/>
    <xf numFmtId="2" fontId="4" fillId="0" borderId="2" xfId="0" applyNumberFormat="1" applyFont="1" applyBorder="1" applyAlignment="1">
      <alignment vertical="center"/>
    </xf>
    <xf numFmtId="2" fontId="8" fillId="0" borderId="0" xfId="1" applyNumberFormat="1" applyFont="1" applyBorder="1" applyAlignment="1">
      <alignment vertical="center"/>
    </xf>
    <xf numFmtId="164" fontId="6" fillId="6" borderId="1" xfId="0" applyNumberFormat="1" applyFont="1" applyFill="1" applyBorder="1"/>
    <xf numFmtId="0" fontId="4" fillId="8" borderId="0" xfId="0" applyFont="1" applyFill="1"/>
    <xf numFmtId="164" fontId="6" fillId="8" borderId="0" xfId="0" applyNumberFormat="1" applyFont="1" applyFill="1"/>
    <xf numFmtId="2" fontId="4" fillId="8" borderId="0" xfId="0" applyNumberFormat="1" applyFont="1" applyFill="1"/>
    <xf numFmtId="0" fontId="4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164" fontId="6" fillId="6" borderId="1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2" fontId="6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right"/>
    </xf>
    <xf numFmtId="0" fontId="4" fillId="9" borderId="0" xfId="0" applyFont="1" applyFill="1" applyAlignment="1">
      <alignment vertical="center"/>
    </xf>
    <xf numFmtId="164" fontId="6" fillId="9" borderId="0" xfId="0" applyNumberFormat="1" applyFont="1" applyFill="1" applyAlignment="1">
      <alignment vertical="center"/>
    </xf>
    <xf numFmtId="2" fontId="4" fillId="9" borderId="0" xfId="0" applyNumberFormat="1" applyFont="1" applyFill="1" applyAlignment="1">
      <alignment vertical="center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164" fontId="6" fillId="0" borderId="3" xfId="0" applyNumberFormat="1" applyFont="1" applyBorder="1"/>
    <xf numFmtId="2" fontId="4" fillId="0" borderId="3" xfId="0" applyNumberFormat="1" applyFont="1" applyBorder="1"/>
    <xf numFmtId="2" fontId="6" fillId="7" borderId="3" xfId="0" applyNumberFormat="1" applyFont="1" applyFill="1" applyBorder="1" applyAlignment="1">
      <alignment horizontal="center" vertical="center"/>
    </xf>
    <xf numFmtId="2" fontId="6" fillId="7" borderId="4" xfId="0" applyNumberFormat="1" applyFont="1" applyFill="1" applyBorder="1" applyAlignment="1">
      <alignment horizontal="center" vertical="center"/>
    </xf>
    <xf numFmtId="0" fontId="4" fillId="9" borderId="0" xfId="0" applyFont="1" applyFill="1"/>
    <xf numFmtId="164" fontId="6" fillId="9" borderId="0" xfId="0" applyNumberFormat="1" applyFont="1" applyFill="1"/>
    <xf numFmtId="2" fontId="4" fillId="9" borderId="0" xfId="0" applyNumberFormat="1" applyFont="1" applyFill="1"/>
    <xf numFmtId="1" fontId="9" fillId="0" borderId="0" xfId="0" applyNumberFormat="1" applyFont="1" applyAlignment="1">
      <alignment horizontal="center" vertical="center"/>
    </xf>
    <xf numFmtId="1" fontId="10" fillId="0" borderId="0" xfId="1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164" fontId="4" fillId="8" borderId="0" xfId="0" applyNumberFormat="1" applyFont="1" applyFill="1" applyAlignment="1">
      <alignment vertical="center"/>
    </xf>
    <xf numFmtId="2" fontId="6" fillId="8" borderId="0" xfId="0" applyNumberFormat="1" applyFont="1" applyFill="1" applyAlignment="1">
      <alignment horizontal="center" vertical="center"/>
    </xf>
    <xf numFmtId="2" fontId="6" fillId="7" borderId="5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horizontal="right"/>
    </xf>
    <xf numFmtId="0" fontId="4" fillId="0" borderId="4" xfId="0" applyFont="1" applyBorder="1"/>
    <xf numFmtId="164" fontId="4" fillId="0" borderId="4" xfId="0" applyNumberFormat="1" applyFont="1" applyBorder="1"/>
    <xf numFmtId="2" fontId="3" fillId="0" borderId="4" xfId="0" applyNumberFormat="1" applyFont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164" fontId="6" fillId="9" borderId="0" xfId="0" applyNumberFormat="1" applyFont="1" applyFill="1" applyAlignment="1">
      <alignment horizontal="left" vertical="center"/>
    </xf>
    <xf numFmtId="0" fontId="4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1" fontId="6" fillId="0" borderId="0" xfId="0" applyNumberFormat="1" applyFont="1" applyAlignment="1">
      <alignment horizontal="center" vertical="center"/>
    </xf>
    <xf numFmtId="1" fontId="7" fillId="6" borderId="0" xfId="0" applyNumberFormat="1" applyFont="1" applyFill="1"/>
    <xf numFmtId="1" fontId="6" fillId="6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right"/>
    </xf>
    <xf numFmtId="0" fontId="4" fillId="10" borderId="1" xfId="0" applyFont="1" applyFill="1" applyBorder="1" applyAlignment="1">
      <alignment horizontal="right"/>
    </xf>
    <xf numFmtId="0" fontId="4" fillId="10" borderId="0" xfId="0" applyFont="1" applyFill="1" applyAlignment="1">
      <alignment horizontal="right"/>
    </xf>
    <xf numFmtId="2" fontId="4" fillId="6" borderId="1" xfId="0" applyNumberFormat="1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2" fontId="8" fillId="0" borderId="0" xfId="1" applyNumberFormat="1" applyFont="1" applyBorder="1" applyAlignment="1">
      <alignment horizontal="right" vertical="center"/>
    </xf>
    <xf numFmtId="2" fontId="8" fillId="0" borderId="0" xfId="1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1" fontId="8" fillId="0" borderId="0" xfId="1" applyNumberFormat="1" applyFont="1" applyBorder="1" applyAlignment="1">
      <alignment horizontal="right" vertical="center"/>
    </xf>
    <xf numFmtId="1" fontId="8" fillId="0" borderId="0" xfId="1" applyNumberFormat="1" applyFont="1" applyAlignment="1">
      <alignment horizontal="right" vertical="center"/>
    </xf>
    <xf numFmtId="1" fontId="6" fillId="11" borderId="0" xfId="0" applyNumberFormat="1" applyFont="1" applyFill="1" applyAlignment="1">
      <alignment horizontal="right" vertical="center"/>
    </xf>
    <xf numFmtId="1" fontId="6" fillId="11" borderId="1" xfId="0" applyNumberFormat="1" applyFont="1" applyFill="1" applyBorder="1" applyAlignment="1">
      <alignment horizontal="right" vertical="center"/>
    </xf>
    <xf numFmtId="1" fontId="12" fillId="6" borderId="0" xfId="0" applyNumberFormat="1" applyFont="1" applyFill="1" applyAlignment="1">
      <alignment horizontal="right" vertical="center"/>
    </xf>
    <xf numFmtId="1" fontId="6" fillId="11" borderId="0" xfId="0" applyNumberFormat="1" applyFont="1" applyFill="1" applyBorder="1" applyAlignment="1">
      <alignment horizontal="right" vertical="center"/>
    </xf>
    <xf numFmtId="2" fontId="5" fillId="2" borderId="0" xfId="0" applyNumberFormat="1" applyFont="1" applyFill="1" applyAlignment="1">
      <alignment horizontal="right" vertical="center"/>
    </xf>
    <xf numFmtId="2" fontId="6" fillId="11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/>
    </xf>
    <xf numFmtId="164" fontId="6" fillId="0" borderId="0" xfId="0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Border="1" applyAlignment="1">
      <alignment horizontal="right" vertical="center"/>
    </xf>
    <xf numFmtId="2" fontId="7" fillId="6" borderId="0" xfId="0" applyNumberFormat="1" applyFont="1" applyFill="1"/>
    <xf numFmtId="2" fontId="11" fillId="6" borderId="0" xfId="0" applyNumberFormat="1" applyFont="1" applyFill="1" applyBorder="1" applyAlignment="1">
      <alignment horizontal="right" vertical="center"/>
    </xf>
    <xf numFmtId="2" fontId="4" fillId="0" borderId="1" xfId="0" applyNumberFormat="1" applyFont="1" applyFill="1" applyBorder="1" applyAlignment="1">
      <alignment vertical="center"/>
    </xf>
    <xf numFmtId="164" fontId="6" fillId="12" borderId="0" xfId="0" applyNumberFormat="1" applyFont="1" applyFill="1" applyBorder="1"/>
    <xf numFmtId="2" fontId="4" fillId="12" borderId="0" xfId="0" applyNumberFormat="1" applyFont="1" applyFill="1" applyBorder="1"/>
    <xf numFmtId="2" fontId="6" fillId="12" borderId="0" xfId="0" applyNumberFormat="1" applyFont="1" applyFill="1" applyAlignment="1">
      <alignment horizontal="center" vertical="center"/>
    </xf>
    <xf numFmtId="1" fontId="6" fillId="12" borderId="0" xfId="0" applyNumberFormat="1" applyFont="1" applyFill="1" applyBorder="1" applyAlignment="1">
      <alignment horizontal="right" vertical="center"/>
    </xf>
    <xf numFmtId="0" fontId="13" fillId="12" borderId="8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2" fontId="6" fillId="12" borderId="1" xfId="0" applyNumberFormat="1" applyFont="1" applyFill="1" applyBorder="1" applyAlignment="1">
      <alignment horizontal="right" vertical="center"/>
    </xf>
    <xf numFmtId="2" fontId="6" fillId="12" borderId="3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800000"/>
      <color rgb="FF6E2C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&#201;%20LUIS/Desktop/Copia%20de%20grupo%20de%20las%2015.30%20hor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&#201;%20LUIS/Desktop/Copia%20de%20grupo%20de%20las%2012.30%20hora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NTES"/>
      <sheetName val="LISTAS"/>
    </sheetNames>
    <sheetDataSet>
      <sheetData sheetId="0" refreshError="1"/>
      <sheetData sheetId="1">
        <row r="2">
          <cell r="D2" t="str">
            <v>1 - Directivo</v>
          </cell>
        </row>
        <row r="3">
          <cell r="D3" t="str">
            <v>2 - Mando intermedio</v>
          </cell>
        </row>
        <row r="4">
          <cell r="D4" t="str">
            <v>3 - Técnico</v>
          </cell>
        </row>
        <row r="5">
          <cell r="D5" t="str">
            <v>4 - Trabajador Cualificado</v>
          </cell>
        </row>
        <row r="6">
          <cell r="D6" t="str">
            <v>5 - Trabajador No Cualificado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NTES"/>
      <sheetName val="LISTAS"/>
    </sheetNames>
    <sheetDataSet>
      <sheetData sheetId="0" refreshError="1"/>
      <sheetData sheetId="1">
        <row r="2">
          <cell r="E2" t="str">
            <v>1 - Ingenieros y Licenciados</v>
          </cell>
        </row>
        <row r="3">
          <cell r="E3" t="str">
            <v>2 - Ingenieros Técnicos, Peritos y Ayudantes Titulados</v>
          </cell>
        </row>
        <row r="4">
          <cell r="E4" t="str">
            <v>3 - Jefes Administrativos y de Taller</v>
          </cell>
        </row>
        <row r="5">
          <cell r="E5" t="str">
            <v>4 - Ayudantes no titulados</v>
          </cell>
        </row>
        <row r="6">
          <cell r="E6" t="str">
            <v>5 - Oficiales administrativos</v>
          </cell>
        </row>
        <row r="7">
          <cell r="E7" t="str">
            <v>6 - Subalternos</v>
          </cell>
        </row>
        <row r="8">
          <cell r="E8" t="str">
            <v>7 - Auxiliares administrativos</v>
          </cell>
        </row>
        <row r="9">
          <cell r="E9" t="str">
            <v>8 - Oficiales de primera y segunda</v>
          </cell>
        </row>
        <row r="10">
          <cell r="E10" t="str">
            <v>9 - Oficiales de tercera y especialistas</v>
          </cell>
        </row>
        <row r="11">
          <cell r="E11" t="str">
            <v>10 - Trabajadores mayores de 18 años no cualificados</v>
          </cell>
        </row>
        <row r="12">
          <cell r="E12" t="str">
            <v>11. Trabajadores menores de 18 años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780A-C48F-4083-83DF-537D96FFCDA6}">
  <sheetPr>
    <pageSetUpPr fitToPage="1"/>
  </sheetPr>
  <dimension ref="A2:P61"/>
  <sheetViews>
    <sheetView zoomScale="80" zoomScaleNormal="80" workbookViewId="0">
      <selection activeCell="J1" sqref="J1:L1048576"/>
    </sheetView>
  </sheetViews>
  <sheetFormatPr baseColWidth="10" defaultRowHeight="15" x14ac:dyDescent="0.25"/>
  <cols>
    <col min="1" max="1" width="4.42578125" style="17" customWidth="1"/>
    <col min="2" max="2" width="15.28515625" style="9" customWidth="1"/>
    <col min="3" max="3" width="33.5703125" style="1" customWidth="1"/>
    <col min="4" max="4" width="9.42578125" style="1" customWidth="1"/>
    <col min="5" max="5" width="9.42578125" style="7" customWidth="1"/>
    <col min="6" max="6" width="4.5703125" style="19" customWidth="1"/>
    <col min="7" max="7" width="14.85546875" style="9" customWidth="1"/>
    <col min="8" max="8" width="39.5703125" style="1" customWidth="1"/>
    <col min="9" max="9" width="9.140625" style="1" customWidth="1"/>
    <col min="10" max="10" width="2.85546875" style="1" customWidth="1"/>
    <col min="11" max="11" width="16.85546875" style="9" customWidth="1"/>
    <col min="12" max="12" width="38.140625" style="1" customWidth="1"/>
    <col min="13" max="13" width="8.85546875" style="1" customWidth="1"/>
    <col min="14" max="14" width="12" style="7" customWidth="1"/>
    <col min="15" max="15" width="14.42578125" style="1" customWidth="1"/>
    <col min="16" max="16" width="11.42578125" style="1"/>
  </cols>
  <sheetData>
    <row r="2" spans="1:13" x14ac:dyDescent="0.25">
      <c r="D2" s="3"/>
      <c r="M2" s="3"/>
    </row>
    <row r="3" spans="1:13" ht="17.25" customHeight="1" x14ac:dyDescent="0.3">
      <c r="A3" s="21">
        <f>SUM(A4:A46)</f>
        <v>21</v>
      </c>
      <c r="B3" s="94" t="s">
        <v>1</v>
      </c>
      <c r="C3" s="94"/>
      <c r="D3" s="94"/>
      <c r="E3" s="44"/>
      <c r="F3" s="82">
        <f>SUM(F6:F46)</f>
        <v>17</v>
      </c>
      <c r="G3" s="95" t="s">
        <v>69</v>
      </c>
      <c r="H3" s="95"/>
      <c r="I3" s="95"/>
    </row>
    <row r="4" spans="1:13" ht="17.25" customHeight="1" x14ac:dyDescent="0.25">
      <c r="A4" s="19"/>
      <c r="B4" s="25" t="s">
        <v>45</v>
      </c>
      <c r="C4" s="26" t="s">
        <v>44</v>
      </c>
      <c r="D4" s="27">
        <v>19.5</v>
      </c>
      <c r="E4" s="45"/>
      <c r="F4" s="20"/>
      <c r="G4" s="25" t="s">
        <v>45</v>
      </c>
      <c r="H4" s="26" t="s">
        <v>71</v>
      </c>
      <c r="I4" s="27">
        <v>16.5</v>
      </c>
    </row>
    <row r="5" spans="1:13" ht="17.25" customHeight="1" x14ac:dyDescent="0.25">
      <c r="A5" s="19"/>
      <c r="B5" s="25" t="s">
        <v>45</v>
      </c>
      <c r="C5" s="26" t="s">
        <v>46</v>
      </c>
      <c r="D5" s="27">
        <v>21.5</v>
      </c>
      <c r="E5" s="45"/>
      <c r="F5" s="20"/>
      <c r="G5" s="25" t="s">
        <v>49</v>
      </c>
      <c r="H5" s="31" t="s">
        <v>72</v>
      </c>
      <c r="I5" s="32">
        <v>20.5</v>
      </c>
    </row>
    <row r="6" spans="1:13" ht="17.25" customHeight="1" x14ac:dyDescent="0.25">
      <c r="A6" s="19"/>
      <c r="B6" s="25" t="s">
        <v>49</v>
      </c>
      <c r="C6" s="26" t="s">
        <v>47</v>
      </c>
      <c r="D6" s="27">
        <v>23.5</v>
      </c>
      <c r="E6" s="45"/>
      <c r="F6" s="20">
        <v>3</v>
      </c>
      <c r="G6" s="50" t="s">
        <v>49</v>
      </c>
      <c r="H6" s="51" t="s">
        <v>73</v>
      </c>
      <c r="I6" s="52">
        <v>34.5</v>
      </c>
    </row>
    <row r="7" spans="1:13" ht="17.25" customHeight="1" x14ac:dyDescent="0.25">
      <c r="A7" s="19"/>
      <c r="B7" s="25" t="s">
        <v>49</v>
      </c>
      <c r="C7" s="26" t="s">
        <v>48</v>
      </c>
      <c r="D7" s="27">
        <v>25.5</v>
      </c>
      <c r="E7" s="45"/>
      <c r="F7" s="59"/>
      <c r="G7" s="46" t="s">
        <v>49</v>
      </c>
      <c r="H7" s="56" t="s">
        <v>74</v>
      </c>
      <c r="I7" s="57"/>
    </row>
    <row r="8" spans="1:13" ht="17.25" customHeight="1" x14ac:dyDescent="0.25">
      <c r="A8" s="19"/>
      <c r="B8" s="25"/>
      <c r="C8" s="26" t="s">
        <v>3</v>
      </c>
      <c r="D8" s="27">
        <v>35</v>
      </c>
      <c r="E8" s="45"/>
      <c r="F8" s="20"/>
      <c r="G8" s="46"/>
      <c r="H8" s="56"/>
      <c r="I8" s="56"/>
    </row>
    <row r="9" spans="1:13" ht="17.25" customHeight="1" x14ac:dyDescent="0.3">
      <c r="A9" s="19"/>
      <c r="B9" s="50"/>
      <c r="C9" s="74" t="s">
        <v>2</v>
      </c>
      <c r="D9" s="75">
        <v>30.5</v>
      </c>
      <c r="E9" s="45"/>
      <c r="F9" s="20"/>
      <c r="G9" s="95" t="s">
        <v>75</v>
      </c>
      <c r="H9" s="95"/>
      <c r="I9" s="95"/>
    </row>
    <row r="10" spans="1:13" ht="17.25" customHeight="1" x14ac:dyDescent="0.25">
      <c r="A10" s="19">
        <v>6</v>
      </c>
      <c r="B10" s="46"/>
      <c r="C10" s="47" t="s">
        <v>50</v>
      </c>
      <c r="D10" s="48"/>
      <c r="E10" s="45"/>
      <c r="F10" s="61">
        <v>1</v>
      </c>
      <c r="G10" s="25" t="s">
        <v>49</v>
      </c>
      <c r="H10" s="31" t="s">
        <v>76</v>
      </c>
      <c r="I10" s="32">
        <v>19.5</v>
      </c>
    </row>
    <row r="11" spans="1:13" ht="17.25" customHeight="1" x14ac:dyDescent="0.25">
      <c r="A11" s="19"/>
      <c r="B11" s="68"/>
      <c r="C11" s="76"/>
      <c r="D11" s="77"/>
      <c r="E11" s="45"/>
      <c r="F11" s="20"/>
      <c r="G11" s="25"/>
      <c r="H11" s="31"/>
      <c r="I11" s="34"/>
    </row>
    <row r="12" spans="1:13" ht="17.25" customHeight="1" x14ac:dyDescent="0.3">
      <c r="A12" s="90" t="s">
        <v>31</v>
      </c>
      <c r="B12" s="90"/>
      <c r="C12" s="90"/>
      <c r="D12" s="90"/>
      <c r="E12" s="13"/>
      <c r="F12" s="20"/>
      <c r="G12" s="96" t="s">
        <v>77</v>
      </c>
      <c r="H12" s="96"/>
      <c r="I12" s="96"/>
    </row>
    <row r="13" spans="1:13" ht="17.25" customHeight="1" x14ac:dyDescent="0.25">
      <c r="A13" s="20"/>
      <c r="B13" s="25" t="s">
        <v>45</v>
      </c>
      <c r="C13" s="26" t="s">
        <v>59</v>
      </c>
      <c r="D13" s="27">
        <v>18.5</v>
      </c>
      <c r="E13" s="45"/>
      <c r="F13" s="59"/>
      <c r="G13" s="25" t="s">
        <v>49</v>
      </c>
      <c r="H13" s="31" t="s">
        <v>78</v>
      </c>
      <c r="I13" s="32">
        <v>18.5</v>
      </c>
    </row>
    <row r="14" spans="1:13" ht="17.25" customHeight="1" x14ac:dyDescent="0.25">
      <c r="A14" s="19">
        <v>2</v>
      </c>
      <c r="B14" s="25" t="s">
        <v>49</v>
      </c>
      <c r="C14" s="26" t="s">
        <v>62</v>
      </c>
      <c r="D14" s="27">
        <v>22.5</v>
      </c>
      <c r="E14" s="45"/>
      <c r="F14" s="20"/>
      <c r="G14" s="25" t="s">
        <v>45</v>
      </c>
      <c r="H14" s="31" t="s">
        <v>79</v>
      </c>
      <c r="I14" s="32">
        <v>18.5</v>
      </c>
    </row>
    <row r="15" spans="1:13" ht="17.25" customHeight="1" x14ac:dyDescent="0.25">
      <c r="A15" s="19"/>
      <c r="B15" s="25"/>
      <c r="C15" s="26"/>
      <c r="D15" s="30"/>
      <c r="E15" s="45"/>
      <c r="F15" s="20"/>
      <c r="G15" s="25" t="s">
        <v>45</v>
      </c>
      <c r="H15" s="31" t="s">
        <v>95</v>
      </c>
      <c r="I15" s="32">
        <v>21.5</v>
      </c>
    </row>
    <row r="16" spans="1:13" ht="17.25" customHeight="1" x14ac:dyDescent="0.25">
      <c r="A16" s="90" t="s">
        <v>25</v>
      </c>
      <c r="B16" s="90"/>
      <c r="C16" s="90"/>
      <c r="D16" s="90"/>
      <c r="E16" s="13"/>
      <c r="F16" s="20">
        <v>4</v>
      </c>
      <c r="G16" s="25" t="s">
        <v>49</v>
      </c>
      <c r="H16" s="31" t="s">
        <v>80</v>
      </c>
      <c r="I16" s="32">
        <v>21.5</v>
      </c>
    </row>
    <row r="17" spans="1:15" ht="17.25" customHeight="1" x14ac:dyDescent="0.25">
      <c r="A17" s="20"/>
      <c r="B17" s="25" t="s">
        <v>45</v>
      </c>
      <c r="C17" s="26" t="s">
        <v>51</v>
      </c>
      <c r="D17" s="27">
        <v>13.5</v>
      </c>
      <c r="E17" s="45"/>
      <c r="F17" s="20"/>
      <c r="G17" s="25"/>
      <c r="H17" s="31"/>
      <c r="I17" s="31"/>
    </row>
    <row r="18" spans="1:15" ht="17.25" customHeight="1" x14ac:dyDescent="0.3">
      <c r="A18" s="19"/>
      <c r="B18" s="25" t="s">
        <v>45</v>
      </c>
      <c r="C18" s="26" t="s">
        <v>52</v>
      </c>
      <c r="D18" s="27">
        <v>16.5</v>
      </c>
      <c r="E18" s="45"/>
      <c r="F18" s="20"/>
      <c r="G18" s="96" t="s">
        <v>24</v>
      </c>
      <c r="H18" s="96"/>
      <c r="I18" s="96"/>
    </row>
    <row r="19" spans="1:15" ht="17.25" customHeight="1" x14ac:dyDescent="0.25">
      <c r="A19" s="19"/>
      <c r="B19" s="25" t="s">
        <v>58</v>
      </c>
      <c r="C19" s="26" t="s">
        <v>4</v>
      </c>
      <c r="D19" s="27">
        <v>18.5</v>
      </c>
      <c r="E19" s="45"/>
      <c r="F19" s="20">
        <v>1</v>
      </c>
      <c r="G19" s="25" t="s">
        <v>45</v>
      </c>
      <c r="H19" s="31" t="s">
        <v>81</v>
      </c>
      <c r="I19" s="32">
        <v>16.5</v>
      </c>
      <c r="M19" s="3"/>
      <c r="O19" s="11"/>
    </row>
    <row r="20" spans="1:15" ht="17.25" customHeight="1" x14ac:dyDescent="0.25">
      <c r="A20" s="20"/>
      <c r="B20" s="25" t="s">
        <v>45</v>
      </c>
      <c r="C20" s="26" t="s">
        <v>53</v>
      </c>
      <c r="D20" s="27">
        <v>20.5</v>
      </c>
      <c r="E20" s="45"/>
      <c r="F20" s="20"/>
      <c r="G20" s="25"/>
      <c r="H20" s="31"/>
      <c r="I20" s="34"/>
    </row>
    <row r="21" spans="1:15" ht="17.25" customHeight="1" x14ac:dyDescent="0.25">
      <c r="A21" s="20"/>
      <c r="B21" s="25" t="s">
        <v>49</v>
      </c>
      <c r="C21" s="26" t="s">
        <v>70</v>
      </c>
      <c r="D21" s="27">
        <v>21.5</v>
      </c>
      <c r="E21" s="45"/>
      <c r="F21" s="20"/>
      <c r="G21" s="97" t="s">
        <v>26</v>
      </c>
      <c r="H21" s="97"/>
      <c r="I21" s="97"/>
      <c r="O21" s="12"/>
    </row>
    <row r="22" spans="1:15" ht="17.25" customHeight="1" x14ac:dyDescent="0.25">
      <c r="A22" s="19">
        <v>6</v>
      </c>
      <c r="B22" s="25" t="s">
        <v>49</v>
      </c>
      <c r="C22" s="26" t="s">
        <v>55</v>
      </c>
      <c r="D22" s="27">
        <v>26.5</v>
      </c>
      <c r="E22" s="45"/>
      <c r="F22" s="20"/>
      <c r="G22" s="25" t="s">
        <v>27</v>
      </c>
      <c r="H22" s="31" t="s">
        <v>96</v>
      </c>
      <c r="I22" s="32">
        <v>18.5</v>
      </c>
    </row>
    <row r="23" spans="1:15" ht="17.25" customHeight="1" x14ac:dyDescent="0.25">
      <c r="A23" s="19"/>
      <c r="B23" s="22" t="s">
        <v>49</v>
      </c>
      <c r="C23" s="14" t="s">
        <v>54</v>
      </c>
      <c r="D23" s="15"/>
      <c r="E23" s="45"/>
      <c r="F23" s="20"/>
    </row>
    <row r="24" spans="1:15" ht="17.25" customHeight="1" x14ac:dyDescent="0.3">
      <c r="A24" s="19"/>
      <c r="B24" s="22" t="s">
        <v>49</v>
      </c>
      <c r="C24" s="14" t="s">
        <v>56</v>
      </c>
      <c r="D24" s="15"/>
      <c r="E24" s="45"/>
      <c r="F24" s="20"/>
      <c r="G24" s="95" t="s">
        <v>21</v>
      </c>
      <c r="H24" s="95"/>
      <c r="I24" s="95"/>
    </row>
    <row r="25" spans="1:15" ht="17.25" customHeight="1" x14ac:dyDescent="0.25">
      <c r="A25" s="18"/>
      <c r="B25" s="22" t="s">
        <v>49</v>
      </c>
      <c r="C25" s="14" t="s">
        <v>57</v>
      </c>
      <c r="D25" s="15"/>
      <c r="E25" s="45"/>
      <c r="F25" s="20"/>
      <c r="G25" s="25" t="s">
        <v>27</v>
      </c>
      <c r="H25" s="31" t="s">
        <v>82</v>
      </c>
      <c r="I25" s="37">
        <v>16.5</v>
      </c>
    </row>
    <row r="26" spans="1:15" ht="17.25" customHeight="1" x14ac:dyDescent="0.25">
      <c r="A26" s="18"/>
      <c r="C26" s="4"/>
      <c r="D26" s="8"/>
      <c r="E26" s="10"/>
      <c r="F26" s="59"/>
      <c r="G26" s="25" t="s">
        <v>27</v>
      </c>
      <c r="H26" s="31" t="s">
        <v>83</v>
      </c>
      <c r="I26" s="37">
        <v>27.5</v>
      </c>
    </row>
    <row r="27" spans="1:15" ht="17.25" customHeight="1" x14ac:dyDescent="0.25">
      <c r="A27" s="90" t="s">
        <v>29</v>
      </c>
      <c r="B27" s="90"/>
      <c r="C27" s="90"/>
      <c r="D27" s="90"/>
      <c r="E27" s="13"/>
      <c r="F27" s="20"/>
      <c r="G27" s="25" t="s">
        <v>27</v>
      </c>
      <c r="H27" s="31" t="s">
        <v>84</v>
      </c>
      <c r="I27" s="32">
        <v>21.5</v>
      </c>
    </row>
    <row r="28" spans="1:15" ht="17.25" customHeight="1" x14ac:dyDescent="0.25">
      <c r="A28" s="20"/>
      <c r="B28" s="25" t="s">
        <v>49</v>
      </c>
      <c r="C28" s="26" t="s">
        <v>60</v>
      </c>
      <c r="D28" s="27">
        <v>18.5</v>
      </c>
      <c r="E28" s="45"/>
      <c r="F28" s="20">
        <v>3</v>
      </c>
      <c r="G28" s="25" t="s">
        <v>35</v>
      </c>
      <c r="H28" s="31" t="s">
        <v>87</v>
      </c>
      <c r="I28" s="32">
        <v>28</v>
      </c>
    </row>
    <row r="29" spans="1:15" ht="17.25" customHeight="1" x14ac:dyDescent="0.25">
      <c r="A29" s="19">
        <v>2</v>
      </c>
      <c r="B29" s="25" t="s">
        <v>45</v>
      </c>
      <c r="C29" s="26" t="s">
        <v>61</v>
      </c>
      <c r="D29" s="30">
        <v>25.5</v>
      </c>
      <c r="E29" s="45"/>
      <c r="F29" s="20"/>
      <c r="G29" s="22" t="s">
        <v>41</v>
      </c>
      <c r="H29" s="38" t="s">
        <v>22</v>
      </c>
      <c r="I29" s="39"/>
    </row>
    <row r="30" spans="1:15" ht="17.25" customHeight="1" x14ac:dyDescent="0.25">
      <c r="A30" s="19"/>
      <c r="C30" s="4"/>
      <c r="D30" s="5"/>
      <c r="E30" s="45"/>
      <c r="F30" s="59"/>
      <c r="G30" s="22" t="s">
        <v>34</v>
      </c>
      <c r="H30" s="38" t="s">
        <v>42</v>
      </c>
      <c r="I30" s="39"/>
    </row>
    <row r="31" spans="1:15" ht="17.25" customHeight="1" x14ac:dyDescent="0.25">
      <c r="A31" s="90" t="s">
        <v>0</v>
      </c>
      <c r="B31" s="90"/>
      <c r="C31" s="90"/>
      <c r="D31" s="90"/>
      <c r="E31" s="13"/>
      <c r="F31" s="20"/>
      <c r="G31" s="22" t="s">
        <v>30</v>
      </c>
      <c r="H31" s="38" t="s">
        <v>23</v>
      </c>
      <c r="I31" s="39"/>
    </row>
    <row r="32" spans="1:15" ht="17.25" customHeight="1" x14ac:dyDescent="0.25">
      <c r="A32" s="19"/>
      <c r="B32" s="25" t="s">
        <v>45</v>
      </c>
      <c r="C32" s="26" t="s">
        <v>63</v>
      </c>
      <c r="D32" s="27">
        <v>18.5</v>
      </c>
      <c r="E32" s="45"/>
      <c r="F32" s="20"/>
    </row>
    <row r="33" spans="1:15" ht="17.25" customHeight="1" x14ac:dyDescent="0.25">
      <c r="A33" s="20">
        <v>2</v>
      </c>
      <c r="B33" s="25" t="s">
        <v>49</v>
      </c>
      <c r="C33" s="26" t="s">
        <v>64</v>
      </c>
      <c r="D33" s="27">
        <v>21.5</v>
      </c>
      <c r="E33" s="45"/>
      <c r="F33" s="20"/>
      <c r="G33" s="93" t="s">
        <v>18</v>
      </c>
      <c r="H33" s="93"/>
      <c r="I33" s="93"/>
    </row>
    <row r="34" spans="1:15" ht="17.25" customHeight="1" x14ac:dyDescent="0.25">
      <c r="A34" s="19"/>
      <c r="C34" s="4"/>
      <c r="D34" s="5"/>
      <c r="E34" s="45"/>
      <c r="F34" s="20"/>
      <c r="G34" s="25" t="s">
        <v>27</v>
      </c>
      <c r="H34" s="41" t="s">
        <v>86</v>
      </c>
      <c r="I34" s="42">
        <v>17.5</v>
      </c>
    </row>
    <row r="35" spans="1:15" ht="17.25" customHeight="1" x14ac:dyDescent="0.25">
      <c r="A35" s="90" t="s">
        <v>65</v>
      </c>
      <c r="B35" s="90"/>
      <c r="C35" s="90"/>
      <c r="D35" s="90"/>
      <c r="E35" s="13"/>
      <c r="F35" s="20"/>
      <c r="G35" s="25" t="s">
        <v>27</v>
      </c>
      <c r="H35" s="41" t="s">
        <v>88</v>
      </c>
      <c r="I35" s="42">
        <v>33.5</v>
      </c>
    </row>
    <row r="36" spans="1:15" ht="17.25" customHeight="1" x14ac:dyDescent="0.25">
      <c r="A36" s="19">
        <v>1</v>
      </c>
      <c r="B36" s="25" t="s">
        <v>49</v>
      </c>
      <c r="C36" s="26" t="s">
        <v>66</v>
      </c>
      <c r="D36" s="27">
        <v>21.5</v>
      </c>
      <c r="E36" s="45"/>
      <c r="F36" s="59"/>
      <c r="G36" s="25" t="s">
        <v>27</v>
      </c>
      <c r="H36" s="41" t="s">
        <v>89</v>
      </c>
      <c r="I36" s="42">
        <v>22.5</v>
      </c>
    </row>
    <row r="37" spans="1:15" ht="17.25" customHeight="1" x14ac:dyDescent="0.25">
      <c r="A37" s="19"/>
      <c r="C37" s="4"/>
      <c r="D37" s="5"/>
      <c r="E37" s="45"/>
      <c r="F37" s="20"/>
      <c r="G37" s="25" t="s">
        <v>28</v>
      </c>
      <c r="H37" s="41" t="s">
        <v>19</v>
      </c>
      <c r="I37" s="42">
        <v>26.5</v>
      </c>
    </row>
    <row r="38" spans="1:15" ht="17.25" customHeight="1" x14ac:dyDescent="0.25">
      <c r="A38" s="90" t="s">
        <v>5</v>
      </c>
      <c r="B38" s="90"/>
      <c r="C38" s="90"/>
      <c r="D38" s="90"/>
      <c r="E38" s="13"/>
      <c r="F38" s="20"/>
      <c r="G38" s="25" t="s">
        <v>28</v>
      </c>
      <c r="H38" s="41" t="s">
        <v>90</v>
      </c>
      <c r="I38" s="42">
        <v>37.5</v>
      </c>
    </row>
    <row r="39" spans="1:15" ht="17.25" customHeight="1" x14ac:dyDescent="0.25">
      <c r="A39" s="19"/>
      <c r="B39" s="25" t="s">
        <v>27</v>
      </c>
      <c r="C39" s="26" t="s">
        <v>67</v>
      </c>
      <c r="D39" s="27">
        <v>16.5</v>
      </c>
      <c r="E39" s="45"/>
      <c r="F39" s="61">
        <v>5</v>
      </c>
      <c r="G39" s="50" t="s">
        <v>27</v>
      </c>
      <c r="H39" s="65" t="s">
        <v>91</v>
      </c>
      <c r="I39" s="66">
        <v>40.5</v>
      </c>
      <c r="O39" s="11"/>
    </row>
    <row r="40" spans="1:15" ht="17.25" customHeight="1" x14ac:dyDescent="0.25">
      <c r="A40" s="19">
        <v>2</v>
      </c>
      <c r="B40" s="25" t="s">
        <v>27</v>
      </c>
      <c r="C40" s="26" t="s">
        <v>85</v>
      </c>
      <c r="D40" s="27">
        <v>24</v>
      </c>
      <c r="E40" s="45"/>
      <c r="F40" s="20"/>
      <c r="G40" s="46" t="s">
        <v>28</v>
      </c>
      <c r="H40" s="72" t="s">
        <v>92</v>
      </c>
      <c r="I40" s="73"/>
    </row>
    <row r="41" spans="1:15" ht="17.25" customHeight="1" x14ac:dyDescent="0.25">
      <c r="A41" s="18"/>
      <c r="B41" s="25" t="s">
        <v>27</v>
      </c>
      <c r="C41" s="26" t="s">
        <v>68</v>
      </c>
      <c r="D41" s="27">
        <v>18.5</v>
      </c>
      <c r="E41" s="45"/>
      <c r="F41" s="20"/>
      <c r="G41" s="46" t="s">
        <v>33</v>
      </c>
      <c r="H41" s="72" t="s">
        <v>93</v>
      </c>
      <c r="I41" s="73"/>
    </row>
    <row r="42" spans="1:15" ht="17.25" customHeight="1" x14ac:dyDescent="0.25">
      <c r="A42" s="18"/>
      <c r="C42" s="4"/>
      <c r="D42" s="5"/>
      <c r="E42" s="45"/>
      <c r="G42" s="46" t="s">
        <v>28</v>
      </c>
      <c r="H42" s="72" t="s">
        <v>20</v>
      </c>
      <c r="I42" s="73"/>
    </row>
    <row r="43" spans="1:15" ht="17.25" customHeight="1" x14ac:dyDescent="0.25">
      <c r="A43" s="90" t="s">
        <v>36</v>
      </c>
      <c r="B43" s="90"/>
      <c r="C43" s="90"/>
      <c r="D43" s="90"/>
      <c r="E43" s="13"/>
      <c r="G43" s="68"/>
      <c r="H43" s="69"/>
      <c r="I43" s="70"/>
    </row>
    <row r="44" spans="1:15" ht="17.25" customHeight="1" x14ac:dyDescent="0.25">
      <c r="B44" s="46" t="s">
        <v>33</v>
      </c>
      <c r="C44" s="47" t="s">
        <v>6</v>
      </c>
      <c r="D44" s="48"/>
      <c r="E44" s="45"/>
      <c r="F44" s="60"/>
    </row>
    <row r="45" spans="1:15" ht="18.75" customHeight="1" x14ac:dyDescent="0.25">
      <c r="B45" s="46" t="s">
        <v>33</v>
      </c>
      <c r="C45" s="47" t="s">
        <v>7</v>
      </c>
      <c r="D45" s="48"/>
      <c r="E45" s="45"/>
      <c r="F45" s="60"/>
      <c r="G45" s="91" t="s">
        <v>36</v>
      </c>
      <c r="H45" s="91"/>
      <c r="I45" s="91"/>
    </row>
    <row r="46" spans="1:15" ht="18.75" customHeight="1" x14ac:dyDescent="0.25">
      <c r="D46" s="3"/>
      <c r="F46" s="60"/>
      <c r="G46" s="22" t="s">
        <v>33</v>
      </c>
      <c r="H46" s="14" t="s">
        <v>43</v>
      </c>
      <c r="I46" s="62">
        <v>31</v>
      </c>
    </row>
    <row r="47" spans="1:15" ht="18.75" customHeight="1" x14ac:dyDescent="0.25">
      <c r="D47" s="24"/>
      <c r="E47" s="36"/>
      <c r="F47" s="60"/>
    </row>
    <row r="48" spans="1:15" ht="18.75" customHeight="1" x14ac:dyDescent="0.25">
      <c r="B48" s="92" t="s">
        <v>8</v>
      </c>
      <c r="C48" s="92"/>
      <c r="D48" s="92"/>
      <c r="E48" s="2"/>
      <c r="F48" s="60"/>
      <c r="G48" s="89" t="s">
        <v>11</v>
      </c>
      <c r="H48" s="89"/>
      <c r="I48" s="89"/>
    </row>
    <row r="49" spans="2:9" ht="18.75" customHeight="1" x14ac:dyDescent="0.25">
      <c r="B49" s="25" t="s">
        <v>27</v>
      </c>
      <c r="C49" s="26" t="s">
        <v>94</v>
      </c>
      <c r="D49" s="43">
        <v>10.5</v>
      </c>
      <c r="E49" s="45"/>
      <c r="G49" s="25" t="s">
        <v>37</v>
      </c>
      <c r="H49" s="26" t="s">
        <v>12</v>
      </c>
      <c r="I49" s="27">
        <v>55</v>
      </c>
    </row>
    <row r="50" spans="2:9" ht="18.75" customHeight="1" x14ac:dyDescent="0.25">
      <c r="B50" s="25" t="s">
        <v>40</v>
      </c>
      <c r="C50" s="26" t="s">
        <v>9</v>
      </c>
      <c r="D50" s="27">
        <v>12</v>
      </c>
      <c r="E50" s="45"/>
      <c r="G50" s="25"/>
      <c r="H50" s="26"/>
      <c r="I50" s="27"/>
    </row>
    <row r="51" spans="2:9" ht="18.75" customHeight="1" x14ac:dyDescent="0.25">
      <c r="B51" s="25" t="s">
        <v>39</v>
      </c>
      <c r="C51" s="26" t="s">
        <v>10</v>
      </c>
      <c r="D51" s="27">
        <v>18.5</v>
      </c>
      <c r="E51" s="45"/>
      <c r="H51" s="4"/>
      <c r="I51" s="5"/>
    </row>
    <row r="52" spans="2:9" ht="18.75" x14ac:dyDescent="0.25">
      <c r="B52" s="25"/>
      <c r="C52" s="26"/>
      <c r="D52" s="30"/>
      <c r="E52" s="45"/>
      <c r="G52" s="89" t="s">
        <v>13</v>
      </c>
      <c r="H52" s="89"/>
      <c r="I52" s="89"/>
    </row>
    <row r="53" spans="2:9" x14ac:dyDescent="0.25">
      <c r="G53" s="25" t="s">
        <v>38</v>
      </c>
      <c r="H53" s="26" t="s">
        <v>14</v>
      </c>
      <c r="I53" s="27">
        <v>25</v>
      </c>
    </row>
    <row r="54" spans="2:9" x14ac:dyDescent="0.25">
      <c r="G54" s="25" t="s">
        <v>38</v>
      </c>
      <c r="H54" s="26" t="s">
        <v>16</v>
      </c>
      <c r="I54" s="27">
        <v>31</v>
      </c>
    </row>
    <row r="55" spans="2:9" x14ac:dyDescent="0.25">
      <c r="G55" s="25" t="s">
        <v>32</v>
      </c>
      <c r="H55" s="26" t="s">
        <v>15</v>
      </c>
      <c r="I55" s="27">
        <v>26</v>
      </c>
    </row>
    <row r="56" spans="2:9" x14ac:dyDescent="0.25">
      <c r="H56" s="4"/>
      <c r="I56" s="5"/>
    </row>
    <row r="57" spans="2:9" ht="18.75" x14ac:dyDescent="0.25">
      <c r="G57" s="89" t="s">
        <v>17</v>
      </c>
      <c r="H57" s="89"/>
      <c r="I57" s="89"/>
    </row>
    <row r="60" spans="2:9" ht="33.75" x14ac:dyDescent="0.25">
      <c r="C60" s="24"/>
      <c r="D60" s="24"/>
      <c r="E60" s="36"/>
    </row>
    <row r="61" spans="2:9" ht="33.75" x14ac:dyDescent="0.25">
      <c r="C61" s="24"/>
      <c r="D61" s="24"/>
      <c r="E61" s="23"/>
    </row>
  </sheetData>
  <mergeCells count="20">
    <mergeCell ref="G33:I33"/>
    <mergeCell ref="B3:D3"/>
    <mergeCell ref="G3:I3"/>
    <mergeCell ref="G9:I9"/>
    <mergeCell ref="A12:D12"/>
    <mergeCell ref="G12:I12"/>
    <mergeCell ref="A16:D16"/>
    <mergeCell ref="G18:I18"/>
    <mergeCell ref="G21:I21"/>
    <mergeCell ref="G24:I24"/>
    <mergeCell ref="A27:D27"/>
    <mergeCell ref="A31:D31"/>
    <mergeCell ref="G52:I52"/>
    <mergeCell ref="G57:I57"/>
    <mergeCell ref="A35:D35"/>
    <mergeCell ref="A38:D38"/>
    <mergeCell ref="A43:D43"/>
    <mergeCell ref="G45:I45"/>
    <mergeCell ref="B48:D48"/>
    <mergeCell ref="G48:I48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2A2A-9DED-43E0-9AFD-F3684EEDF217}">
  <sheetPr>
    <pageSetUpPr fitToPage="1"/>
  </sheetPr>
  <dimension ref="A2:AA62"/>
  <sheetViews>
    <sheetView tabSelected="1" topLeftCell="C1" zoomScale="80" zoomScaleNormal="80" workbookViewId="0">
      <selection activeCell="T4" sqref="T4:AA21"/>
    </sheetView>
  </sheetViews>
  <sheetFormatPr baseColWidth="10" defaultRowHeight="15" x14ac:dyDescent="0.25"/>
  <cols>
    <col min="1" max="1" width="4.42578125" style="17" customWidth="1"/>
    <col min="2" max="2" width="15.28515625" style="9" customWidth="1"/>
    <col min="3" max="3" width="33.5703125" style="1" customWidth="1"/>
    <col min="4" max="4" width="9.42578125" style="1" customWidth="1"/>
    <col min="5" max="7" width="9.42578125" style="7" customWidth="1"/>
    <col min="8" max="8" width="7.42578125" style="61" customWidth="1"/>
    <col min="9" max="9" width="9.42578125" style="100" customWidth="1"/>
    <col min="10" max="10" width="4.5703125" style="19" customWidth="1"/>
    <col min="11" max="11" width="14.85546875" style="9" customWidth="1"/>
    <col min="12" max="12" width="34.140625" style="1" customWidth="1"/>
    <col min="13" max="13" width="9.140625" style="1" customWidth="1"/>
    <col min="14" max="14" width="11" style="7" customWidth="1"/>
    <col min="15" max="16" width="10.28515625" style="1" customWidth="1"/>
    <col min="17" max="17" width="9.42578125" style="61" customWidth="1"/>
    <col min="18" max="18" width="9.42578125" style="100" customWidth="1"/>
    <col min="19" max="19" width="2.85546875" style="1" customWidth="1"/>
    <col min="20" max="20" width="16.85546875" style="9" customWidth="1"/>
    <col min="21" max="21" width="36.140625" style="1" customWidth="1"/>
    <col min="22" max="22" width="8.85546875" style="1" hidden="1" customWidth="1"/>
    <col min="23" max="23" width="12" style="7" hidden="1" customWidth="1"/>
    <col min="24" max="24" width="14.42578125" style="1" customWidth="1"/>
    <col min="25" max="25" width="0" style="1" hidden="1" customWidth="1"/>
  </cols>
  <sheetData>
    <row r="2" spans="1:27" x14ac:dyDescent="0.25">
      <c r="D2" s="3"/>
      <c r="V2" s="3"/>
    </row>
    <row r="3" spans="1:27" ht="17.25" customHeight="1" x14ac:dyDescent="0.3">
      <c r="A3" s="83">
        <f>SUM(A4:A46)</f>
        <v>21</v>
      </c>
      <c r="B3" s="94" t="s">
        <v>1</v>
      </c>
      <c r="C3" s="94"/>
      <c r="D3" s="94"/>
      <c r="E3" s="44"/>
      <c r="F3" s="44"/>
      <c r="G3" s="44"/>
      <c r="H3" s="105">
        <f>SUM(H4:H53)</f>
        <v>300</v>
      </c>
      <c r="I3" s="107"/>
      <c r="J3" s="84">
        <f>SUM(J6:J46)</f>
        <v>17</v>
      </c>
      <c r="K3" s="95" t="s">
        <v>69</v>
      </c>
      <c r="L3" s="95"/>
      <c r="M3" s="95"/>
      <c r="N3" s="80"/>
      <c r="O3" s="10"/>
      <c r="P3" s="10"/>
      <c r="Q3" s="105">
        <f>SUM(Q4:Q53)</f>
        <v>252</v>
      </c>
      <c r="R3" s="107"/>
      <c r="Z3" s="17">
        <f>SUM(Z5:Z12)</f>
        <v>132</v>
      </c>
    </row>
    <row r="4" spans="1:27" ht="17.25" customHeight="1" x14ac:dyDescent="0.25">
      <c r="A4" s="19"/>
      <c r="B4" s="86" t="s">
        <v>45</v>
      </c>
      <c r="C4" s="26" t="s">
        <v>44</v>
      </c>
      <c r="D4" s="43">
        <v>19.5</v>
      </c>
      <c r="E4" s="29">
        <v>5.95</v>
      </c>
      <c r="F4" s="28">
        <f>E4*1.21</f>
        <v>7.1994999999999996</v>
      </c>
      <c r="G4" s="45">
        <f>D4/F4</f>
        <v>2.7085214250989655</v>
      </c>
      <c r="H4" s="104">
        <v>36</v>
      </c>
      <c r="I4" s="108">
        <f>H4*F4</f>
        <v>259.18199999999996</v>
      </c>
      <c r="J4" s="20"/>
      <c r="K4" s="86" t="s">
        <v>45</v>
      </c>
      <c r="L4" s="26" t="s">
        <v>71</v>
      </c>
      <c r="M4" s="27">
        <v>16.5</v>
      </c>
      <c r="N4" s="88">
        <v>4.4000000000000004</v>
      </c>
      <c r="O4" s="28">
        <f>N4*1.21</f>
        <v>5.3239999999999998</v>
      </c>
      <c r="P4" s="45">
        <f>M4/O4</f>
        <v>3.0991735537190084</v>
      </c>
      <c r="Q4" s="104">
        <v>24</v>
      </c>
      <c r="R4" s="108">
        <f>Q4*O4</f>
        <v>127.776</v>
      </c>
      <c r="T4" s="86" t="s">
        <v>45</v>
      </c>
      <c r="U4" s="26" t="s">
        <v>44</v>
      </c>
      <c r="V4" s="43">
        <v>19.5</v>
      </c>
      <c r="W4" s="29">
        <v>5.95</v>
      </c>
      <c r="X4" s="28">
        <f>W4*1.21</f>
        <v>7.1994999999999996</v>
      </c>
      <c r="Y4" s="45">
        <f>V4/X4</f>
        <v>2.7085214250989655</v>
      </c>
      <c r="Z4" s="104">
        <v>36</v>
      </c>
      <c r="AA4" s="108">
        <f>Z4*X4</f>
        <v>259.18199999999996</v>
      </c>
    </row>
    <row r="5" spans="1:27" ht="17.25" customHeight="1" x14ac:dyDescent="0.25">
      <c r="A5" s="19"/>
      <c r="B5" s="86" t="s">
        <v>45</v>
      </c>
      <c r="C5" s="26" t="s">
        <v>46</v>
      </c>
      <c r="D5" s="27">
        <v>21.5</v>
      </c>
      <c r="E5" s="29">
        <v>6.99</v>
      </c>
      <c r="F5" s="28">
        <f t="shared" ref="F5" si="0">E5*1.21</f>
        <v>8.4579000000000004</v>
      </c>
      <c r="G5" s="45">
        <f t="shared" ref="G5" si="1">D5/F5</f>
        <v>2.5420021518343794</v>
      </c>
      <c r="H5" s="104">
        <v>12</v>
      </c>
      <c r="I5" s="108">
        <f t="shared" ref="I5:I52" si="2">H5*F5</f>
        <v>101.4948</v>
      </c>
      <c r="J5" s="20"/>
      <c r="K5" s="86" t="s">
        <v>49</v>
      </c>
      <c r="L5" s="31" t="s">
        <v>72</v>
      </c>
      <c r="M5" s="32">
        <v>20.5</v>
      </c>
      <c r="N5" s="33">
        <v>6.1</v>
      </c>
      <c r="O5" s="28">
        <f t="shared" ref="O5:O42" si="3">N5*1.21</f>
        <v>7.3809999999999993</v>
      </c>
      <c r="P5" s="45">
        <f t="shared" ref="P5:P55" si="4">M5/O5</f>
        <v>2.7774014361197672</v>
      </c>
      <c r="Q5" s="104">
        <v>12</v>
      </c>
      <c r="R5" s="108">
        <f t="shared" ref="R5:R39" si="5">Q5*O5</f>
        <v>88.571999999999989</v>
      </c>
      <c r="T5" s="86" t="s">
        <v>45</v>
      </c>
      <c r="U5" s="26" t="s">
        <v>46</v>
      </c>
      <c r="V5" s="27">
        <v>21.5</v>
      </c>
      <c r="W5" s="29">
        <v>6.99</v>
      </c>
      <c r="X5" s="28">
        <f t="shared" ref="X5:X6" si="6">W5*1.21</f>
        <v>8.4579000000000004</v>
      </c>
      <c r="Y5" s="45">
        <f t="shared" ref="Y5:Y6" si="7">V5/X5</f>
        <v>2.5420021518343794</v>
      </c>
      <c r="Z5" s="104">
        <v>12</v>
      </c>
      <c r="AA5" s="108">
        <f t="shared" ref="AA5:AA6" si="8">Z5*X5</f>
        <v>101.4948</v>
      </c>
    </row>
    <row r="6" spans="1:27" ht="17.25" customHeight="1" x14ac:dyDescent="0.25">
      <c r="A6" s="19"/>
      <c r="B6" s="86" t="s">
        <v>33</v>
      </c>
      <c r="C6" s="26" t="s">
        <v>97</v>
      </c>
      <c r="D6" s="27">
        <v>20.5</v>
      </c>
      <c r="E6" s="29">
        <v>6.38</v>
      </c>
      <c r="F6" s="28">
        <f t="shared" ref="F6:F46" si="9">E6*1.21</f>
        <v>7.7197999999999993</v>
      </c>
      <c r="G6" s="45">
        <f t="shared" ref="G6:G52" si="10">D6/F6</f>
        <v>2.6555092100831632</v>
      </c>
      <c r="H6" s="104">
        <v>12</v>
      </c>
      <c r="I6" s="108">
        <f t="shared" si="2"/>
        <v>92.637599999999992</v>
      </c>
      <c r="J6" s="20">
        <v>3</v>
      </c>
      <c r="K6" s="50" t="s">
        <v>49</v>
      </c>
      <c r="L6" s="51" t="s">
        <v>73</v>
      </c>
      <c r="M6" s="52">
        <v>34.5</v>
      </c>
      <c r="N6" s="53">
        <v>14.4</v>
      </c>
      <c r="O6" s="54">
        <f t="shared" si="3"/>
        <v>17.423999999999999</v>
      </c>
      <c r="P6" s="45">
        <f t="shared" si="4"/>
        <v>1.9800275482093666</v>
      </c>
      <c r="Q6" s="104"/>
      <c r="R6" s="108"/>
      <c r="T6" s="86" t="s">
        <v>45</v>
      </c>
      <c r="U6" s="26" t="s">
        <v>59</v>
      </c>
      <c r="V6" s="27">
        <v>18.5</v>
      </c>
      <c r="W6" s="29">
        <v>4.95</v>
      </c>
      <c r="X6" s="28">
        <f t="shared" si="6"/>
        <v>5.9894999999999996</v>
      </c>
      <c r="Y6" s="45">
        <f t="shared" si="7"/>
        <v>3.0887386259287086</v>
      </c>
      <c r="Z6" s="104">
        <v>12</v>
      </c>
      <c r="AA6" s="108">
        <f t="shared" si="8"/>
        <v>71.873999999999995</v>
      </c>
    </row>
    <row r="7" spans="1:27" ht="17.25" customHeight="1" x14ac:dyDescent="0.25">
      <c r="A7" s="19"/>
      <c r="B7" s="25" t="s">
        <v>49</v>
      </c>
      <c r="C7" s="26" t="s">
        <v>47</v>
      </c>
      <c r="D7" s="27">
        <v>23.5</v>
      </c>
      <c r="E7" s="29">
        <v>8.4</v>
      </c>
      <c r="F7" s="28">
        <f t="shared" si="9"/>
        <v>10.164</v>
      </c>
      <c r="G7" s="45">
        <f t="shared" si="10"/>
        <v>2.3120818575364033</v>
      </c>
      <c r="H7" s="104"/>
      <c r="I7" s="108"/>
      <c r="J7" s="59"/>
      <c r="K7" s="46" t="s">
        <v>49</v>
      </c>
      <c r="L7" s="56" t="s">
        <v>74</v>
      </c>
      <c r="M7" s="57"/>
      <c r="N7" s="58">
        <v>17.3</v>
      </c>
      <c r="O7" s="45">
        <f t="shared" si="3"/>
        <v>20.933</v>
      </c>
      <c r="P7" s="45"/>
      <c r="Q7" s="106"/>
      <c r="R7" s="108"/>
      <c r="T7" s="86" t="s">
        <v>45</v>
      </c>
      <c r="U7" s="26" t="s">
        <v>51</v>
      </c>
      <c r="V7" s="43">
        <v>13.5</v>
      </c>
      <c r="W7" s="29">
        <v>3.05</v>
      </c>
      <c r="X7" s="28">
        <f>W7*1.21</f>
        <v>3.6904999999999997</v>
      </c>
      <c r="Y7" s="45">
        <f>V7/X7</f>
        <v>3.6580409158650591</v>
      </c>
      <c r="Z7" s="104">
        <v>36</v>
      </c>
      <c r="AA7" s="108">
        <f>Z7*X7</f>
        <v>132.85799999999998</v>
      </c>
    </row>
    <row r="8" spans="1:27" ht="17.25" customHeight="1" x14ac:dyDescent="0.25">
      <c r="A8" s="19"/>
      <c r="B8" s="86" t="s">
        <v>49</v>
      </c>
      <c r="C8" s="26" t="s">
        <v>48</v>
      </c>
      <c r="D8" s="27">
        <v>25.5</v>
      </c>
      <c r="E8" s="29">
        <v>8.4</v>
      </c>
      <c r="F8" s="28">
        <f t="shared" si="9"/>
        <v>10.164</v>
      </c>
      <c r="G8" s="45">
        <f t="shared" si="10"/>
        <v>2.5088547815820545</v>
      </c>
      <c r="H8" s="104">
        <v>12</v>
      </c>
      <c r="I8" s="108">
        <f t="shared" si="2"/>
        <v>121.96799999999999</v>
      </c>
      <c r="J8" s="20"/>
      <c r="K8" s="46"/>
      <c r="L8" s="56"/>
      <c r="M8" s="56"/>
      <c r="N8" s="58"/>
      <c r="O8" s="45"/>
      <c r="P8" s="45"/>
      <c r="Q8" s="106"/>
      <c r="R8" s="108"/>
      <c r="T8" s="86" t="s">
        <v>45</v>
      </c>
      <c r="U8" s="26" t="s">
        <v>52</v>
      </c>
      <c r="V8" s="27">
        <v>16.5</v>
      </c>
      <c r="W8" s="29">
        <v>3.95</v>
      </c>
      <c r="X8" s="28">
        <f>W8*1.21</f>
        <v>4.7794999999999996</v>
      </c>
      <c r="Y8" s="45">
        <f>V8/X8</f>
        <v>3.4522439585730726</v>
      </c>
      <c r="Z8" s="104">
        <v>12</v>
      </c>
      <c r="AA8" s="108">
        <f>Z8*X8</f>
        <v>57.353999999999999</v>
      </c>
    </row>
    <row r="9" spans="1:27" ht="17.25" customHeight="1" x14ac:dyDescent="0.3">
      <c r="A9" s="19"/>
      <c r="B9" s="25"/>
      <c r="C9" s="26" t="s">
        <v>3</v>
      </c>
      <c r="D9" s="27">
        <v>35</v>
      </c>
      <c r="E9" s="29">
        <v>15.71</v>
      </c>
      <c r="F9" s="28">
        <f t="shared" si="9"/>
        <v>19.0091</v>
      </c>
      <c r="G9" s="45">
        <f t="shared" si="10"/>
        <v>1.8412234140490606</v>
      </c>
      <c r="H9" s="104"/>
      <c r="I9" s="108"/>
      <c r="J9" s="20"/>
      <c r="K9" s="95" t="s">
        <v>75</v>
      </c>
      <c r="L9" s="95"/>
      <c r="M9" s="95"/>
      <c r="N9" s="80"/>
      <c r="O9" s="55"/>
      <c r="P9" s="45"/>
      <c r="Q9" s="106"/>
      <c r="R9" s="108"/>
      <c r="T9" s="86" t="s">
        <v>45</v>
      </c>
      <c r="U9" s="26" t="s">
        <v>71</v>
      </c>
      <c r="V9" s="43">
        <v>16.5</v>
      </c>
      <c r="W9" s="118">
        <v>4.4000000000000004</v>
      </c>
      <c r="X9" s="28">
        <f>W9*1.21</f>
        <v>5.3239999999999998</v>
      </c>
      <c r="Y9" s="45">
        <f>V9/X9</f>
        <v>3.0991735537190084</v>
      </c>
      <c r="Z9" s="104">
        <v>24</v>
      </c>
      <c r="AA9" s="108">
        <f>Z9*X9</f>
        <v>127.776</v>
      </c>
    </row>
    <row r="10" spans="1:27" ht="17.25" customHeight="1" x14ac:dyDescent="0.25">
      <c r="A10" s="19">
        <v>6</v>
      </c>
      <c r="B10" s="50"/>
      <c r="C10" s="74" t="s">
        <v>2</v>
      </c>
      <c r="D10" s="75">
        <v>30.5</v>
      </c>
      <c r="E10" s="67">
        <v>14</v>
      </c>
      <c r="F10" s="54">
        <f t="shared" si="9"/>
        <v>16.939999999999998</v>
      </c>
      <c r="G10" s="45">
        <f t="shared" si="10"/>
        <v>1.8004722550177099</v>
      </c>
      <c r="H10" s="104"/>
      <c r="I10" s="108"/>
      <c r="J10" s="61">
        <v>1</v>
      </c>
      <c r="K10" s="25" t="s">
        <v>49</v>
      </c>
      <c r="L10" s="31" t="s">
        <v>76</v>
      </c>
      <c r="M10" s="32">
        <v>19.5</v>
      </c>
      <c r="N10" s="33">
        <v>5.7</v>
      </c>
      <c r="O10" s="28">
        <f t="shared" si="3"/>
        <v>6.8970000000000002</v>
      </c>
      <c r="P10" s="45">
        <f t="shared" si="4"/>
        <v>2.8273162244454109</v>
      </c>
      <c r="Q10" s="104">
        <v>12</v>
      </c>
      <c r="R10" s="108">
        <f t="shared" si="5"/>
        <v>82.76400000000001</v>
      </c>
      <c r="T10" s="25" t="s">
        <v>45</v>
      </c>
      <c r="U10" s="31" t="s">
        <v>79</v>
      </c>
      <c r="V10" s="32">
        <v>18.5</v>
      </c>
      <c r="W10" s="33">
        <v>5.05</v>
      </c>
      <c r="X10" s="28">
        <f t="shared" ref="X10:X20" si="11">W10*1.21</f>
        <v>6.1105</v>
      </c>
      <c r="Y10" s="45">
        <f t="shared" ref="Y10:Y12" si="12">V10/X10</f>
        <v>3.0275754848212095</v>
      </c>
      <c r="Z10" s="104">
        <v>12</v>
      </c>
      <c r="AA10" s="108">
        <f t="shared" ref="AA10:AA20" si="13">Z10*X10</f>
        <v>73.325999999999993</v>
      </c>
    </row>
    <row r="11" spans="1:27" ht="17.25" customHeight="1" x14ac:dyDescent="0.25">
      <c r="A11" s="19"/>
      <c r="B11" s="46"/>
      <c r="C11" s="47" t="s">
        <v>50</v>
      </c>
      <c r="D11" s="48"/>
      <c r="E11" s="49">
        <v>12.64</v>
      </c>
      <c r="F11" s="45">
        <f>E11*1.21</f>
        <v>15.2944</v>
      </c>
      <c r="G11" s="45"/>
      <c r="H11" s="103"/>
      <c r="I11" s="108"/>
      <c r="J11" s="20"/>
      <c r="K11" s="25"/>
      <c r="L11" s="31"/>
      <c r="M11" s="34"/>
      <c r="N11" s="33"/>
      <c r="O11" s="28"/>
      <c r="P11" s="45"/>
      <c r="Q11" s="104"/>
      <c r="R11" s="108"/>
      <c r="T11" s="25" t="s">
        <v>45</v>
      </c>
      <c r="U11" s="31" t="s">
        <v>95</v>
      </c>
      <c r="V11" s="32">
        <v>21.5</v>
      </c>
      <c r="W11" s="33">
        <v>7.45</v>
      </c>
      <c r="X11" s="28">
        <f t="shared" si="11"/>
        <v>9.0145</v>
      </c>
      <c r="Y11" s="45">
        <f t="shared" si="12"/>
        <v>2.3850463142714515</v>
      </c>
      <c r="Z11" s="104">
        <v>12</v>
      </c>
      <c r="AA11" s="108">
        <f t="shared" si="13"/>
        <v>108.17400000000001</v>
      </c>
    </row>
    <row r="12" spans="1:27" ht="17.25" customHeight="1" x14ac:dyDescent="0.3">
      <c r="A12" s="13" t="s">
        <v>31</v>
      </c>
      <c r="B12" s="68"/>
      <c r="C12" s="76"/>
      <c r="D12" s="77"/>
      <c r="E12" s="78"/>
      <c r="F12" s="55"/>
      <c r="G12" s="45"/>
      <c r="H12" s="103"/>
      <c r="I12" s="108"/>
      <c r="J12" s="20"/>
      <c r="K12" s="96" t="s">
        <v>77</v>
      </c>
      <c r="L12" s="96"/>
      <c r="M12" s="96"/>
      <c r="N12" s="80"/>
      <c r="O12" s="28"/>
      <c r="P12" s="45"/>
      <c r="Q12" s="106"/>
      <c r="R12" s="108"/>
      <c r="T12" s="86" t="s">
        <v>45</v>
      </c>
      <c r="U12" s="31" t="s">
        <v>81</v>
      </c>
      <c r="V12" s="32">
        <v>16.5</v>
      </c>
      <c r="W12" s="33">
        <v>3.55</v>
      </c>
      <c r="X12" s="28">
        <f t="shared" si="11"/>
        <v>4.2954999999999997</v>
      </c>
      <c r="Y12" s="45">
        <f t="shared" si="12"/>
        <v>3.8412291933418699</v>
      </c>
      <c r="Z12" s="104">
        <v>12</v>
      </c>
      <c r="AA12" s="108">
        <f t="shared" si="13"/>
        <v>51.545999999999992</v>
      </c>
    </row>
    <row r="13" spans="1:27" ht="24.75" customHeight="1" x14ac:dyDescent="0.25">
      <c r="A13" s="20"/>
      <c r="B13" s="13"/>
      <c r="C13" s="13"/>
      <c r="D13" s="13"/>
      <c r="E13" s="13"/>
      <c r="F13" s="13"/>
      <c r="G13" s="45"/>
      <c r="H13" s="103"/>
      <c r="I13" s="108"/>
      <c r="J13" s="59"/>
      <c r="K13" s="86" t="s">
        <v>49</v>
      </c>
      <c r="L13" s="31" t="s">
        <v>78</v>
      </c>
      <c r="M13" s="37">
        <v>18.5</v>
      </c>
      <c r="N13" s="33">
        <v>5</v>
      </c>
      <c r="O13" s="28">
        <f t="shared" si="3"/>
        <v>6.05</v>
      </c>
      <c r="P13" s="45">
        <f t="shared" si="4"/>
        <v>3.0578512396694215</v>
      </c>
      <c r="Q13" s="104">
        <v>48</v>
      </c>
      <c r="R13" s="108">
        <f t="shared" si="5"/>
        <v>290.39999999999998</v>
      </c>
      <c r="T13" s="123" t="s">
        <v>98</v>
      </c>
      <c r="U13" s="124"/>
      <c r="V13" s="119"/>
      <c r="W13" s="120"/>
      <c r="X13" s="126"/>
      <c r="Y13" s="121"/>
      <c r="Z13" s="122"/>
      <c r="AA13" s="125"/>
    </row>
    <row r="14" spans="1:27" ht="17.25" customHeight="1" x14ac:dyDescent="0.25">
      <c r="A14" s="19">
        <v>2</v>
      </c>
      <c r="B14" s="86" t="s">
        <v>45</v>
      </c>
      <c r="C14" s="26" t="s">
        <v>59</v>
      </c>
      <c r="D14" s="27">
        <v>18.5</v>
      </c>
      <c r="E14" s="29">
        <v>4.95</v>
      </c>
      <c r="F14" s="28">
        <f t="shared" si="9"/>
        <v>5.9894999999999996</v>
      </c>
      <c r="G14" s="45">
        <f t="shared" si="10"/>
        <v>3.0887386259287086</v>
      </c>
      <c r="H14" s="104">
        <v>12</v>
      </c>
      <c r="I14" s="108">
        <f t="shared" si="2"/>
        <v>71.873999999999995</v>
      </c>
      <c r="J14" s="20"/>
      <c r="K14" s="25" t="s">
        <v>45</v>
      </c>
      <c r="L14" s="31" t="s">
        <v>79</v>
      </c>
      <c r="M14" s="32">
        <v>18.5</v>
      </c>
      <c r="N14" s="33">
        <v>5.05</v>
      </c>
      <c r="O14" s="28">
        <f t="shared" si="3"/>
        <v>6.1105</v>
      </c>
      <c r="P14" s="45">
        <f t="shared" si="4"/>
        <v>3.0275754848212095</v>
      </c>
      <c r="Q14" s="104">
        <v>12</v>
      </c>
      <c r="R14" s="108">
        <f t="shared" si="5"/>
        <v>73.325999999999993</v>
      </c>
      <c r="T14" s="86" t="s">
        <v>45</v>
      </c>
      <c r="U14" s="31" t="s">
        <v>99</v>
      </c>
      <c r="V14" s="32"/>
      <c r="W14" s="33">
        <v>5.78</v>
      </c>
      <c r="X14" s="28">
        <f t="shared" si="11"/>
        <v>6.9938000000000002</v>
      </c>
      <c r="Y14" s="127"/>
      <c r="Z14" s="104">
        <v>2</v>
      </c>
      <c r="AA14" s="108">
        <f t="shared" si="13"/>
        <v>13.9876</v>
      </c>
    </row>
    <row r="15" spans="1:27" ht="17.25" customHeight="1" x14ac:dyDescent="0.25">
      <c r="A15" s="19"/>
      <c r="B15" s="25" t="s">
        <v>49</v>
      </c>
      <c r="C15" s="26" t="s">
        <v>62</v>
      </c>
      <c r="D15" s="27">
        <v>22.5</v>
      </c>
      <c r="E15" s="29">
        <v>7.6</v>
      </c>
      <c r="F15" s="28">
        <f t="shared" si="9"/>
        <v>9.1959999999999997</v>
      </c>
      <c r="G15" s="45">
        <f t="shared" si="10"/>
        <v>2.446715963462375</v>
      </c>
      <c r="H15" s="104"/>
      <c r="I15" s="108"/>
      <c r="J15" s="20"/>
      <c r="K15" s="25" t="s">
        <v>45</v>
      </c>
      <c r="L15" s="31" t="s">
        <v>95</v>
      </c>
      <c r="M15" s="32">
        <v>21.5</v>
      </c>
      <c r="N15" s="33">
        <v>7.45</v>
      </c>
      <c r="O15" s="28">
        <f t="shared" si="3"/>
        <v>9.0145</v>
      </c>
      <c r="P15" s="45">
        <f t="shared" si="4"/>
        <v>2.3850463142714515</v>
      </c>
      <c r="Q15" s="104">
        <v>12</v>
      </c>
      <c r="R15" s="108">
        <f t="shared" si="5"/>
        <v>108.17400000000001</v>
      </c>
      <c r="T15" s="86" t="s">
        <v>45</v>
      </c>
      <c r="U15" s="31" t="s">
        <v>100</v>
      </c>
      <c r="V15" s="32"/>
      <c r="W15" s="33">
        <v>5.25</v>
      </c>
      <c r="X15" s="28">
        <f t="shared" si="11"/>
        <v>6.3525</v>
      </c>
      <c r="Y15" s="127"/>
      <c r="Z15" s="104">
        <v>4</v>
      </c>
      <c r="AA15" s="108">
        <f t="shared" si="13"/>
        <v>25.41</v>
      </c>
    </row>
    <row r="16" spans="1:27" ht="17.25" customHeight="1" x14ac:dyDescent="0.25">
      <c r="A16" s="13" t="s">
        <v>25</v>
      </c>
      <c r="B16" s="25"/>
      <c r="C16" s="26"/>
      <c r="D16" s="30"/>
      <c r="E16" s="29"/>
      <c r="F16" s="28"/>
      <c r="G16" s="45"/>
      <c r="H16" s="103"/>
      <c r="I16" s="108"/>
      <c r="J16" s="20">
        <v>4</v>
      </c>
      <c r="K16" s="25" t="s">
        <v>49</v>
      </c>
      <c r="L16" s="31" t="s">
        <v>80</v>
      </c>
      <c r="M16" s="32">
        <v>21.5</v>
      </c>
      <c r="N16" s="33">
        <v>7.5</v>
      </c>
      <c r="O16" s="28">
        <f t="shared" si="3"/>
        <v>9.0749999999999993</v>
      </c>
      <c r="P16" s="45">
        <f t="shared" si="4"/>
        <v>2.3691460055096423</v>
      </c>
      <c r="Q16" s="104"/>
      <c r="R16" s="108"/>
      <c r="T16" s="86" t="s">
        <v>45</v>
      </c>
      <c r="U16" s="31" t="s">
        <v>101</v>
      </c>
      <c r="V16" s="32"/>
      <c r="W16" s="33">
        <v>5.25</v>
      </c>
      <c r="X16" s="28">
        <f t="shared" si="11"/>
        <v>6.3525</v>
      </c>
      <c r="Y16" s="127"/>
      <c r="Z16" s="104">
        <v>2</v>
      </c>
      <c r="AA16" s="108">
        <f t="shared" si="13"/>
        <v>12.705</v>
      </c>
    </row>
    <row r="17" spans="1:27" ht="17.25" customHeight="1" x14ac:dyDescent="0.25">
      <c r="A17" s="20"/>
      <c r="B17" s="13"/>
      <c r="C17" s="13"/>
      <c r="D17" s="13"/>
      <c r="E17" s="13"/>
      <c r="F17" s="13"/>
      <c r="G17" s="45"/>
      <c r="H17" s="103"/>
      <c r="I17" s="108"/>
      <c r="J17" s="20"/>
      <c r="K17" s="25"/>
      <c r="L17" s="31"/>
      <c r="M17" s="31"/>
      <c r="N17" s="33"/>
      <c r="O17" s="28"/>
      <c r="P17" s="45"/>
      <c r="Q17" s="106"/>
      <c r="R17" s="108"/>
      <c r="T17" s="86" t="s">
        <v>45</v>
      </c>
      <c r="U17" s="31" t="s">
        <v>102</v>
      </c>
      <c r="V17" s="32"/>
      <c r="W17" s="33">
        <v>4.9800000000000004</v>
      </c>
      <c r="X17" s="28">
        <f t="shared" si="11"/>
        <v>6.0258000000000003</v>
      </c>
      <c r="Y17" s="127"/>
      <c r="Z17" s="104">
        <v>4</v>
      </c>
      <c r="AA17" s="108">
        <f t="shared" si="13"/>
        <v>24.103200000000001</v>
      </c>
    </row>
    <row r="18" spans="1:27" ht="17.25" customHeight="1" x14ac:dyDescent="0.3">
      <c r="A18" s="19"/>
      <c r="B18" s="86" t="s">
        <v>45</v>
      </c>
      <c r="C18" s="26" t="s">
        <v>51</v>
      </c>
      <c r="D18" s="43">
        <v>13.5</v>
      </c>
      <c r="E18" s="29">
        <v>3.05</v>
      </c>
      <c r="F18" s="28">
        <f t="shared" si="9"/>
        <v>3.6904999999999997</v>
      </c>
      <c r="G18" s="45">
        <f t="shared" si="10"/>
        <v>3.6580409158650591</v>
      </c>
      <c r="H18" s="104">
        <v>36</v>
      </c>
      <c r="I18" s="108">
        <f t="shared" si="2"/>
        <v>132.85799999999998</v>
      </c>
      <c r="J18" s="20"/>
      <c r="K18" s="96" t="s">
        <v>24</v>
      </c>
      <c r="L18" s="96"/>
      <c r="M18" s="96"/>
      <c r="N18" s="80"/>
      <c r="O18" s="28"/>
      <c r="P18" s="45"/>
      <c r="Q18" s="106"/>
      <c r="R18" s="108"/>
      <c r="T18" s="86" t="s">
        <v>45</v>
      </c>
      <c r="U18" s="31" t="s">
        <v>103</v>
      </c>
      <c r="V18" s="32"/>
      <c r="W18" s="33">
        <v>18.649999999999999</v>
      </c>
      <c r="X18" s="28">
        <f t="shared" si="11"/>
        <v>22.566499999999998</v>
      </c>
      <c r="Y18" s="127"/>
      <c r="Z18" s="104">
        <v>1</v>
      </c>
      <c r="AA18" s="108">
        <f t="shared" si="13"/>
        <v>22.566499999999998</v>
      </c>
    </row>
    <row r="19" spans="1:27" ht="17.25" customHeight="1" x14ac:dyDescent="0.25">
      <c r="A19" s="19"/>
      <c r="B19" s="86" t="s">
        <v>45</v>
      </c>
      <c r="C19" s="26" t="s">
        <v>52</v>
      </c>
      <c r="D19" s="27">
        <v>16.5</v>
      </c>
      <c r="E19" s="29">
        <v>3.95</v>
      </c>
      <c r="F19" s="28">
        <f t="shared" si="9"/>
        <v>4.7794999999999996</v>
      </c>
      <c r="G19" s="45">
        <f t="shared" si="10"/>
        <v>3.4522439585730726</v>
      </c>
      <c r="H19" s="104">
        <v>12</v>
      </c>
      <c r="I19" s="108">
        <f t="shared" si="2"/>
        <v>57.353999999999999</v>
      </c>
      <c r="J19" s="20">
        <v>1</v>
      </c>
      <c r="K19" s="86" t="s">
        <v>45</v>
      </c>
      <c r="L19" s="31" t="s">
        <v>81</v>
      </c>
      <c r="M19" s="32">
        <v>16.5</v>
      </c>
      <c r="N19" s="33">
        <v>3.55</v>
      </c>
      <c r="O19" s="28">
        <f t="shared" si="3"/>
        <v>4.2954999999999997</v>
      </c>
      <c r="P19" s="45">
        <f t="shared" si="4"/>
        <v>3.8412291933418699</v>
      </c>
      <c r="Q19" s="104">
        <v>12</v>
      </c>
      <c r="R19" s="108">
        <f t="shared" si="5"/>
        <v>51.545999999999992</v>
      </c>
      <c r="T19" s="86" t="s">
        <v>45</v>
      </c>
      <c r="U19" s="31" t="s">
        <v>104</v>
      </c>
      <c r="V19" s="32"/>
      <c r="W19" s="33">
        <v>15.4</v>
      </c>
      <c r="X19" s="28">
        <f t="shared" si="11"/>
        <v>18.634</v>
      </c>
      <c r="Y19" s="127"/>
      <c r="Z19" s="104">
        <v>2</v>
      </c>
      <c r="AA19" s="108">
        <f t="shared" si="13"/>
        <v>37.268000000000001</v>
      </c>
    </row>
    <row r="20" spans="1:27" ht="17.25" customHeight="1" x14ac:dyDescent="0.25">
      <c r="A20" s="20"/>
      <c r="B20" s="86" t="s">
        <v>58</v>
      </c>
      <c r="C20" s="26" t="s">
        <v>4</v>
      </c>
      <c r="D20" s="27">
        <v>18.5</v>
      </c>
      <c r="E20" s="29">
        <v>4.5</v>
      </c>
      <c r="F20" s="28">
        <f t="shared" si="9"/>
        <v>5.4450000000000003</v>
      </c>
      <c r="G20" s="45">
        <f t="shared" si="10"/>
        <v>3.3976124885215793</v>
      </c>
      <c r="H20" s="104">
        <v>12</v>
      </c>
      <c r="I20" s="108">
        <f t="shared" si="2"/>
        <v>65.34</v>
      </c>
      <c r="J20" s="20"/>
      <c r="K20" s="25"/>
      <c r="L20" s="31"/>
      <c r="M20" s="34"/>
      <c r="N20" s="33"/>
      <c r="O20" s="28"/>
      <c r="P20" s="45"/>
      <c r="Q20" s="106"/>
      <c r="R20" s="108"/>
      <c r="T20" s="86" t="s">
        <v>45</v>
      </c>
      <c r="U20" s="31" t="s">
        <v>105</v>
      </c>
      <c r="V20" s="32"/>
      <c r="W20" s="33">
        <v>16.3</v>
      </c>
      <c r="X20" s="28">
        <f t="shared" si="11"/>
        <v>19.722999999999999</v>
      </c>
      <c r="Y20" s="127"/>
      <c r="Z20" s="104">
        <v>1</v>
      </c>
      <c r="AA20" s="108">
        <f t="shared" si="13"/>
        <v>19.722999999999999</v>
      </c>
    </row>
    <row r="21" spans="1:27" ht="17.25" customHeight="1" x14ac:dyDescent="0.25">
      <c r="A21" s="20"/>
      <c r="B21" s="25" t="s">
        <v>45</v>
      </c>
      <c r="C21" s="26" t="s">
        <v>53</v>
      </c>
      <c r="D21" s="27">
        <v>20.5</v>
      </c>
      <c r="E21" s="29">
        <v>5.35</v>
      </c>
      <c r="F21" s="28">
        <f t="shared" si="9"/>
        <v>6.4734999999999996</v>
      </c>
      <c r="G21" s="45">
        <f t="shared" si="10"/>
        <v>3.1667567776318841</v>
      </c>
      <c r="H21" s="104"/>
      <c r="I21" s="108"/>
      <c r="J21" s="20"/>
      <c r="K21" s="97" t="s">
        <v>26</v>
      </c>
      <c r="L21" s="97"/>
      <c r="M21" s="97"/>
      <c r="N21" s="81"/>
      <c r="O21" s="28"/>
      <c r="P21" s="45"/>
      <c r="Q21" s="106"/>
      <c r="R21" s="108"/>
      <c r="AA21" s="116">
        <f>SUM(AA4:AA20)</f>
        <v>1139.3480999999997</v>
      </c>
    </row>
    <row r="22" spans="1:27" ht="17.25" customHeight="1" x14ac:dyDescent="0.25">
      <c r="A22" s="19">
        <v>6</v>
      </c>
      <c r="B22" s="86" t="s">
        <v>49</v>
      </c>
      <c r="C22" s="26" t="s">
        <v>70</v>
      </c>
      <c r="D22" s="27">
        <v>21.5</v>
      </c>
      <c r="E22" s="29">
        <v>5.7</v>
      </c>
      <c r="F22" s="28">
        <f t="shared" si="9"/>
        <v>6.8970000000000002</v>
      </c>
      <c r="G22" s="45">
        <f t="shared" si="10"/>
        <v>3.1172973756705815</v>
      </c>
      <c r="H22" s="104">
        <v>12</v>
      </c>
      <c r="I22" s="108">
        <f t="shared" si="2"/>
        <v>82.76400000000001</v>
      </c>
      <c r="J22" s="20"/>
      <c r="K22" s="86" t="s">
        <v>27</v>
      </c>
      <c r="L22" s="31" t="s">
        <v>96</v>
      </c>
      <c r="M22" s="32">
        <v>18.5</v>
      </c>
      <c r="N22" s="33">
        <v>5.2</v>
      </c>
      <c r="O22" s="28">
        <f t="shared" si="3"/>
        <v>6.2919999999999998</v>
      </c>
      <c r="P22" s="45">
        <f t="shared" si="4"/>
        <v>2.9402415766052132</v>
      </c>
      <c r="Q22" s="104">
        <v>12</v>
      </c>
      <c r="R22" s="108">
        <f t="shared" si="5"/>
        <v>75.503999999999991</v>
      </c>
    </row>
    <row r="23" spans="1:27" ht="17.25" customHeight="1" x14ac:dyDescent="0.25">
      <c r="A23" s="19"/>
      <c r="B23" s="86" t="s">
        <v>49</v>
      </c>
      <c r="C23" s="26" t="s">
        <v>55</v>
      </c>
      <c r="D23" s="27">
        <v>26.5</v>
      </c>
      <c r="E23" s="29">
        <v>8.1999999999999993</v>
      </c>
      <c r="F23" s="28">
        <f t="shared" si="9"/>
        <v>9.9219999999999988</v>
      </c>
      <c r="G23" s="45">
        <f t="shared" si="10"/>
        <v>2.6708324934489016</v>
      </c>
      <c r="H23" s="104">
        <v>12</v>
      </c>
      <c r="I23" s="108">
        <f t="shared" si="2"/>
        <v>119.06399999999999</v>
      </c>
      <c r="J23" s="20"/>
      <c r="O23" s="28"/>
      <c r="P23" s="45"/>
      <c r="Q23" s="106"/>
      <c r="R23" s="108"/>
      <c r="T23" s="86" t="s">
        <v>49</v>
      </c>
      <c r="U23" s="26" t="s">
        <v>48</v>
      </c>
      <c r="V23" s="27">
        <v>25.5</v>
      </c>
      <c r="W23" s="29">
        <v>8.4</v>
      </c>
      <c r="X23" s="28">
        <f t="shared" ref="X23:X31" si="14">W23*1.21</f>
        <v>10.164</v>
      </c>
      <c r="Y23" s="45">
        <f t="shared" ref="Y23:Y31" si="15">V23/X23</f>
        <v>2.5088547815820545</v>
      </c>
      <c r="Z23" s="104">
        <v>12</v>
      </c>
      <c r="AA23" s="108">
        <f t="shared" ref="AA23:AA31" si="16">Z23*X23</f>
        <v>121.96799999999999</v>
      </c>
    </row>
    <row r="24" spans="1:27" ht="17.25" customHeight="1" x14ac:dyDescent="0.3">
      <c r="A24" s="19"/>
      <c r="B24" s="22" t="s">
        <v>49</v>
      </c>
      <c r="C24" s="14" t="s">
        <v>54</v>
      </c>
      <c r="D24" s="15"/>
      <c r="E24" s="16">
        <v>11.4</v>
      </c>
      <c r="F24" s="10">
        <f t="shared" si="9"/>
        <v>13.794</v>
      </c>
      <c r="G24" s="45"/>
      <c r="H24" s="103"/>
      <c r="I24" s="108"/>
      <c r="J24" s="20"/>
      <c r="K24" s="95" t="s">
        <v>21</v>
      </c>
      <c r="L24" s="95"/>
      <c r="M24" s="95"/>
      <c r="N24" s="80"/>
      <c r="O24" s="28"/>
      <c r="P24" s="45"/>
      <c r="Q24" s="106"/>
      <c r="R24" s="108"/>
      <c r="T24" s="86" t="s">
        <v>49</v>
      </c>
      <c r="U24" s="26" t="s">
        <v>70</v>
      </c>
      <c r="V24" s="27">
        <v>21.5</v>
      </c>
      <c r="W24" s="29">
        <v>5.7</v>
      </c>
      <c r="X24" s="28">
        <f t="shared" si="14"/>
        <v>6.8970000000000002</v>
      </c>
      <c r="Y24" s="45">
        <f t="shared" si="15"/>
        <v>3.1172973756705815</v>
      </c>
      <c r="Z24" s="104">
        <v>12</v>
      </c>
      <c r="AA24" s="108">
        <f t="shared" si="16"/>
        <v>82.76400000000001</v>
      </c>
    </row>
    <row r="25" spans="1:27" ht="17.25" customHeight="1" x14ac:dyDescent="0.25">
      <c r="A25" s="18"/>
      <c r="B25" s="22" t="s">
        <v>49</v>
      </c>
      <c r="C25" s="14" t="s">
        <v>56</v>
      </c>
      <c r="D25" s="15"/>
      <c r="E25" s="16">
        <v>12</v>
      </c>
      <c r="F25" s="10">
        <f t="shared" si="9"/>
        <v>14.52</v>
      </c>
      <c r="G25" s="45"/>
      <c r="H25" s="103"/>
      <c r="I25" s="108"/>
      <c r="J25" s="20"/>
      <c r="K25" s="86" t="s">
        <v>27</v>
      </c>
      <c r="L25" s="31" t="s">
        <v>82</v>
      </c>
      <c r="M25" s="37">
        <v>16.5</v>
      </c>
      <c r="N25" s="33">
        <v>4.2</v>
      </c>
      <c r="O25" s="28">
        <f t="shared" si="3"/>
        <v>5.0819999999999999</v>
      </c>
      <c r="P25" s="45">
        <f t="shared" si="4"/>
        <v>3.2467532467532467</v>
      </c>
      <c r="Q25" s="106">
        <v>12</v>
      </c>
      <c r="R25" s="108">
        <f t="shared" si="5"/>
        <v>60.983999999999995</v>
      </c>
      <c r="T25" s="86" t="s">
        <v>49</v>
      </c>
      <c r="U25" s="26" t="s">
        <v>55</v>
      </c>
      <c r="V25" s="27">
        <v>26.5</v>
      </c>
      <c r="W25" s="29">
        <v>8.1999999999999993</v>
      </c>
      <c r="X25" s="28">
        <f t="shared" si="14"/>
        <v>9.9219999999999988</v>
      </c>
      <c r="Y25" s="45">
        <f t="shared" si="15"/>
        <v>2.6708324934489016</v>
      </c>
      <c r="Z25" s="104">
        <v>12</v>
      </c>
      <c r="AA25" s="108">
        <f t="shared" si="16"/>
        <v>119.06399999999999</v>
      </c>
    </row>
    <row r="26" spans="1:27" ht="17.25" customHeight="1" x14ac:dyDescent="0.25">
      <c r="A26" s="18"/>
      <c r="B26" s="22" t="s">
        <v>49</v>
      </c>
      <c r="C26" s="14" t="s">
        <v>57</v>
      </c>
      <c r="D26" s="15"/>
      <c r="E26" s="16">
        <v>12</v>
      </c>
      <c r="F26" s="10">
        <f t="shared" si="9"/>
        <v>14.52</v>
      </c>
      <c r="G26" s="45"/>
      <c r="H26" s="103"/>
      <c r="I26" s="108"/>
      <c r="J26" s="59"/>
      <c r="K26" s="86" t="s">
        <v>27</v>
      </c>
      <c r="L26" s="31" t="s">
        <v>83</v>
      </c>
      <c r="M26" s="37">
        <v>27.5</v>
      </c>
      <c r="N26" s="33">
        <v>8</v>
      </c>
      <c r="O26" s="28">
        <f t="shared" si="3"/>
        <v>9.68</v>
      </c>
      <c r="P26" s="45">
        <f t="shared" si="4"/>
        <v>2.8409090909090908</v>
      </c>
      <c r="Q26" s="106">
        <v>12</v>
      </c>
      <c r="R26" s="108">
        <f t="shared" si="5"/>
        <v>116.16</v>
      </c>
      <c r="T26" s="86" t="s">
        <v>49</v>
      </c>
      <c r="U26" s="26" t="s">
        <v>60</v>
      </c>
      <c r="V26" s="43">
        <v>18.5</v>
      </c>
      <c r="W26" s="35">
        <v>5.7</v>
      </c>
      <c r="X26" s="28">
        <f t="shared" si="14"/>
        <v>6.8970000000000002</v>
      </c>
      <c r="Y26" s="45">
        <f t="shared" si="15"/>
        <v>2.6823256488328258</v>
      </c>
      <c r="Z26" s="104">
        <v>48</v>
      </c>
      <c r="AA26" s="108">
        <f t="shared" si="16"/>
        <v>331.05600000000004</v>
      </c>
    </row>
    <row r="27" spans="1:27" ht="17.25" customHeight="1" x14ac:dyDescent="0.25">
      <c r="A27" s="13" t="s">
        <v>29</v>
      </c>
      <c r="C27" s="4"/>
      <c r="D27" s="8"/>
      <c r="E27" s="6"/>
      <c r="F27" s="10"/>
      <c r="G27" s="45"/>
      <c r="H27" s="103"/>
      <c r="I27" s="108"/>
      <c r="J27" s="20"/>
      <c r="K27" s="86" t="s">
        <v>27</v>
      </c>
      <c r="L27" s="31" t="s">
        <v>84</v>
      </c>
      <c r="M27" s="32">
        <v>21.5</v>
      </c>
      <c r="N27" s="33">
        <v>6</v>
      </c>
      <c r="O27" s="28">
        <f t="shared" si="3"/>
        <v>7.26</v>
      </c>
      <c r="P27" s="45">
        <f t="shared" si="4"/>
        <v>2.9614325068870526</v>
      </c>
      <c r="Q27" s="106">
        <v>12</v>
      </c>
      <c r="R27" s="108">
        <f t="shared" si="5"/>
        <v>87.12</v>
      </c>
      <c r="T27" s="86" t="s">
        <v>49</v>
      </c>
      <c r="U27" s="26" t="s">
        <v>64</v>
      </c>
      <c r="V27" s="27">
        <v>21.5</v>
      </c>
      <c r="W27" s="35">
        <v>7.2</v>
      </c>
      <c r="X27" s="28">
        <f t="shared" si="14"/>
        <v>8.7119999999999997</v>
      </c>
      <c r="Y27" s="45">
        <f t="shared" si="15"/>
        <v>2.4678604224058769</v>
      </c>
      <c r="Z27" s="104">
        <v>12</v>
      </c>
      <c r="AA27" s="108">
        <f t="shared" si="16"/>
        <v>104.544</v>
      </c>
    </row>
    <row r="28" spans="1:27" ht="17.25" customHeight="1" x14ac:dyDescent="0.25">
      <c r="A28" s="20"/>
      <c r="B28" s="13"/>
      <c r="C28" s="13"/>
      <c r="D28" s="13"/>
      <c r="E28" s="13"/>
      <c r="F28" s="13"/>
      <c r="G28" s="45"/>
      <c r="H28" s="103"/>
      <c r="I28" s="108"/>
      <c r="J28" s="20">
        <v>3</v>
      </c>
      <c r="K28" s="25" t="s">
        <v>35</v>
      </c>
      <c r="L28" s="31" t="s">
        <v>87</v>
      </c>
      <c r="M28" s="32">
        <v>28</v>
      </c>
      <c r="N28" s="33">
        <v>11.54</v>
      </c>
      <c r="O28" s="28">
        <f t="shared" si="3"/>
        <v>13.963399999999998</v>
      </c>
      <c r="P28" s="45">
        <f t="shared" si="4"/>
        <v>2.005242276236447</v>
      </c>
      <c r="Q28" s="106"/>
      <c r="R28" s="108"/>
      <c r="T28" s="86" t="s">
        <v>49</v>
      </c>
      <c r="U28" s="26" t="s">
        <v>66</v>
      </c>
      <c r="V28" s="27">
        <v>21.5</v>
      </c>
      <c r="W28" s="35">
        <v>7.2</v>
      </c>
      <c r="X28" s="28">
        <f t="shared" si="14"/>
        <v>8.7119999999999997</v>
      </c>
      <c r="Y28" s="45">
        <f t="shared" si="15"/>
        <v>2.4678604224058769</v>
      </c>
      <c r="Z28" s="104">
        <v>12</v>
      </c>
      <c r="AA28" s="108">
        <f t="shared" si="16"/>
        <v>104.544</v>
      </c>
    </row>
    <row r="29" spans="1:27" ht="17.25" customHeight="1" x14ac:dyDescent="0.25">
      <c r="A29" s="19">
        <v>2</v>
      </c>
      <c r="B29" s="86" t="s">
        <v>49</v>
      </c>
      <c r="C29" s="26" t="s">
        <v>60</v>
      </c>
      <c r="D29" s="43">
        <v>18.5</v>
      </c>
      <c r="E29" s="35">
        <v>5.7</v>
      </c>
      <c r="F29" s="28">
        <f t="shared" si="9"/>
        <v>6.8970000000000002</v>
      </c>
      <c r="G29" s="45">
        <f t="shared" si="10"/>
        <v>2.6823256488328258</v>
      </c>
      <c r="H29" s="104">
        <v>48</v>
      </c>
      <c r="I29" s="108">
        <f t="shared" si="2"/>
        <v>331.05600000000004</v>
      </c>
      <c r="J29" s="20"/>
      <c r="K29" s="22" t="s">
        <v>41</v>
      </c>
      <c r="L29" s="38" t="s">
        <v>22</v>
      </c>
      <c r="M29" s="39"/>
      <c r="N29" s="40"/>
      <c r="O29" s="28">
        <f t="shared" si="3"/>
        <v>0</v>
      </c>
      <c r="P29" s="45"/>
      <c r="Q29" s="106"/>
      <c r="R29" s="108"/>
      <c r="T29" s="86" t="s">
        <v>49</v>
      </c>
      <c r="U29" s="31" t="s">
        <v>72</v>
      </c>
      <c r="V29" s="32">
        <v>20.5</v>
      </c>
      <c r="W29" s="33">
        <v>6.1</v>
      </c>
      <c r="X29" s="28">
        <f t="shared" si="14"/>
        <v>7.3809999999999993</v>
      </c>
      <c r="Y29" s="45">
        <f t="shared" si="15"/>
        <v>2.7774014361197672</v>
      </c>
      <c r="Z29" s="104">
        <v>12</v>
      </c>
      <c r="AA29" s="108">
        <f t="shared" si="16"/>
        <v>88.571999999999989</v>
      </c>
    </row>
    <row r="30" spans="1:27" ht="17.25" customHeight="1" x14ac:dyDescent="0.25">
      <c r="A30" s="19"/>
      <c r="B30" s="25" t="s">
        <v>45</v>
      </c>
      <c r="C30" s="26" t="s">
        <v>61</v>
      </c>
      <c r="D30" s="30">
        <v>25.5</v>
      </c>
      <c r="E30" s="35">
        <v>7.9</v>
      </c>
      <c r="F30" s="28">
        <f t="shared" si="9"/>
        <v>9.5589999999999993</v>
      </c>
      <c r="G30" s="45">
        <f t="shared" si="10"/>
        <v>2.6676430588973745</v>
      </c>
      <c r="H30" s="104"/>
      <c r="I30" s="108"/>
      <c r="J30" s="59"/>
      <c r="K30" s="22" t="s">
        <v>34</v>
      </c>
      <c r="L30" s="38" t="s">
        <v>42</v>
      </c>
      <c r="M30" s="39"/>
      <c r="N30" s="40"/>
      <c r="O30" s="28">
        <f t="shared" si="3"/>
        <v>0</v>
      </c>
      <c r="P30" s="45"/>
      <c r="Q30" s="106"/>
      <c r="R30" s="108"/>
      <c r="T30" s="25" t="s">
        <v>49</v>
      </c>
      <c r="U30" s="31" t="s">
        <v>76</v>
      </c>
      <c r="V30" s="32">
        <v>19.5</v>
      </c>
      <c r="W30" s="33">
        <v>5.7</v>
      </c>
      <c r="X30" s="28">
        <f t="shared" si="14"/>
        <v>6.8970000000000002</v>
      </c>
      <c r="Y30" s="45">
        <f t="shared" si="15"/>
        <v>2.8273162244454109</v>
      </c>
      <c r="Z30" s="104">
        <v>12</v>
      </c>
      <c r="AA30" s="108">
        <f t="shared" si="16"/>
        <v>82.76400000000001</v>
      </c>
    </row>
    <row r="31" spans="1:27" ht="17.25" customHeight="1" x14ac:dyDescent="0.25">
      <c r="A31" s="13" t="s">
        <v>0</v>
      </c>
      <c r="C31" s="4"/>
      <c r="D31" s="5"/>
      <c r="E31" s="6"/>
      <c r="F31" s="28"/>
      <c r="G31" s="45"/>
      <c r="H31" s="103"/>
      <c r="I31" s="108"/>
      <c r="J31" s="20"/>
      <c r="K31" s="22" t="s">
        <v>30</v>
      </c>
      <c r="L31" s="38" t="s">
        <v>23</v>
      </c>
      <c r="M31" s="39"/>
      <c r="N31" s="40"/>
      <c r="O31" s="28">
        <f t="shared" si="3"/>
        <v>0</v>
      </c>
      <c r="P31" s="45"/>
      <c r="Q31" s="106"/>
      <c r="R31" s="108"/>
      <c r="T31" s="86" t="s">
        <v>49</v>
      </c>
      <c r="U31" s="31" t="s">
        <v>78</v>
      </c>
      <c r="V31" s="37">
        <v>18.5</v>
      </c>
      <c r="W31" s="33">
        <v>5</v>
      </c>
      <c r="X31" s="28">
        <f t="shared" si="14"/>
        <v>6.05</v>
      </c>
      <c r="Y31" s="45">
        <f t="shared" si="15"/>
        <v>3.0578512396694215</v>
      </c>
      <c r="Z31" s="104">
        <v>48</v>
      </c>
      <c r="AA31" s="108">
        <f t="shared" si="16"/>
        <v>290.39999999999998</v>
      </c>
    </row>
    <row r="32" spans="1:27" ht="17.25" customHeight="1" x14ac:dyDescent="0.25">
      <c r="A32" s="19"/>
      <c r="B32" s="13"/>
      <c r="C32" s="13"/>
      <c r="D32" s="13"/>
      <c r="E32" s="13"/>
      <c r="F32" s="13"/>
      <c r="G32" s="45"/>
      <c r="H32" s="103"/>
      <c r="I32" s="108"/>
      <c r="J32" s="20"/>
      <c r="O32" s="28">
        <f t="shared" si="3"/>
        <v>0</v>
      </c>
      <c r="P32" s="45"/>
      <c r="Q32" s="106"/>
      <c r="R32" s="108"/>
      <c r="AA32" s="116">
        <f>SUM(AA23:AA31)</f>
        <v>1325.6759999999999</v>
      </c>
    </row>
    <row r="33" spans="1:27" ht="17.25" customHeight="1" x14ac:dyDescent="0.25">
      <c r="A33" s="20">
        <v>2</v>
      </c>
      <c r="B33" s="85" t="s">
        <v>45</v>
      </c>
      <c r="C33" s="26" t="s">
        <v>63</v>
      </c>
      <c r="D33" s="43">
        <v>18.5</v>
      </c>
      <c r="E33" s="35">
        <v>4.45</v>
      </c>
      <c r="F33" s="28">
        <f t="shared" si="9"/>
        <v>5.3845000000000001</v>
      </c>
      <c r="G33" s="45">
        <f t="shared" si="10"/>
        <v>3.435787909740923</v>
      </c>
      <c r="H33" s="104"/>
      <c r="I33" s="108"/>
      <c r="J33" s="20"/>
      <c r="K33" s="93" t="s">
        <v>18</v>
      </c>
      <c r="L33" s="93"/>
      <c r="M33" s="93"/>
      <c r="N33" s="81"/>
      <c r="O33" s="28">
        <f t="shared" si="3"/>
        <v>0</v>
      </c>
      <c r="P33" s="45"/>
      <c r="Q33" s="106"/>
      <c r="R33" s="108"/>
    </row>
    <row r="34" spans="1:27" ht="17.25" customHeight="1" x14ac:dyDescent="0.25">
      <c r="A34" s="19"/>
      <c r="B34" s="86" t="s">
        <v>49</v>
      </c>
      <c r="C34" s="26" t="s">
        <v>64</v>
      </c>
      <c r="D34" s="27">
        <v>21.5</v>
      </c>
      <c r="E34" s="35">
        <v>7.2</v>
      </c>
      <c r="F34" s="28">
        <f t="shared" si="9"/>
        <v>8.7119999999999997</v>
      </c>
      <c r="G34" s="45">
        <f t="shared" si="10"/>
        <v>2.4678604224058769</v>
      </c>
      <c r="H34" s="104">
        <v>12</v>
      </c>
      <c r="I34" s="108">
        <f t="shared" si="2"/>
        <v>104.544</v>
      </c>
      <c r="J34" s="20"/>
      <c r="K34" s="25" t="s">
        <v>27</v>
      </c>
      <c r="L34" s="41" t="s">
        <v>86</v>
      </c>
      <c r="M34" s="42">
        <v>17.5</v>
      </c>
      <c r="N34" s="33">
        <v>4.7</v>
      </c>
      <c r="O34" s="28">
        <f t="shared" si="3"/>
        <v>5.6870000000000003</v>
      </c>
      <c r="P34" s="45">
        <f t="shared" si="4"/>
        <v>3.077193599437313</v>
      </c>
      <c r="Q34" s="104">
        <v>12</v>
      </c>
      <c r="R34" s="108">
        <f t="shared" si="5"/>
        <v>68.244</v>
      </c>
    </row>
    <row r="35" spans="1:27" ht="17.25" customHeight="1" x14ac:dyDescent="0.25">
      <c r="A35" s="13" t="s">
        <v>65</v>
      </c>
      <c r="C35" s="4"/>
      <c r="D35" s="5"/>
      <c r="E35" s="6"/>
      <c r="F35" s="28"/>
      <c r="G35" s="45"/>
      <c r="H35" s="103"/>
      <c r="I35" s="108"/>
      <c r="J35" s="20"/>
      <c r="K35" s="25" t="s">
        <v>27</v>
      </c>
      <c r="L35" s="41" t="s">
        <v>88</v>
      </c>
      <c r="M35" s="42">
        <v>33.5</v>
      </c>
      <c r="N35" s="33">
        <v>9.15</v>
      </c>
      <c r="O35" s="28">
        <f t="shared" si="3"/>
        <v>11.0715</v>
      </c>
      <c r="P35" s="45">
        <f t="shared" si="4"/>
        <v>3.0257869304069005</v>
      </c>
      <c r="Q35" s="104">
        <v>12</v>
      </c>
      <c r="R35" s="108">
        <f t="shared" si="5"/>
        <v>132.858</v>
      </c>
      <c r="T35" s="86" t="s">
        <v>27</v>
      </c>
      <c r="U35" s="26" t="s">
        <v>67</v>
      </c>
      <c r="V35" s="27">
        <v>16.5</v>
      </c>
      <c r="W35" s="35">
        <v>3.5</v>
      </c>
      <c r="X35" s="28">
        <f t="shared" ref="X35:X37" si="17">W35*1.21</f>
        <v>4.2349999999999994</v>
      </c>
      <c r="Y35" s="45">
        <f t="shared" ref="Y35:Y47" si="18">V35/X35</f>
        <v>3.8961038961038965</v>
      </c>
      <c r="Z35" s="104">
        <v>12</v>
      </c>
      <c r="AA35" s="108">
        <f t="shared" ref="AA35:AA47" si="19">Z35*X35</f>
        <v>50.819999999999993</v>
      </c>
    </row>
    <row r="36" spans="1:27" ht="17.25" customHeight="1" x14ac:dyDescent="0.25">
      <c r="A36" s="19">
        <v>1</v>
      </c>
      <c r="B36" s="13"/>
      <c r="C36" s="13"/>
      <c r="D36" s="13"/>
      <c r="E36" s="13"/>
      <c r="F36" s="13"/>
      <c r="G36" s="45"/>
      <c r="H36" s="103"/>
      <c r="I36" s="108"/>
      <c r="J36" s="59"/>
      <c r="K36" s="25" t="s">
        <v>27</v>
      </c>
      <c r="L36" s="41" t="s">
        <v>89</v>
      </c>
      <c r="M36" s="42">
        <v>22.5</v>
      </c>
      <c r="N36" s="33">
        <v>6.85</v>
      </c>
      <c r="O36" s="28">
        <f t="shared" si="3"/>
        <v>8.2884999999999991</v>
      </c>
      <c r="P36" s="45">
        <f t="shared" si="4"/>
        <v>2.7146045726005914</v>
      </c>
      <c r="Q36" s="104">
        <v>12</v>
      </c>
      <c r="R36" s="108">
        <f t="shared" si="5"/>
        <v>99.461999999999989</v>
      </c>
      <c r="T36" s="86" t="s">
        <v>27</v>
      </c>
      <c r="U36" s="26" t="s">
        <v>85</v>
      </c>
      <c r="V36" s="43">
        <v>24</v>
      </c>
      <c r="W36" s="35">
        <v>6.5</v>
      </c>
      <c r="X36" s="28">
        <f t="shared" si="17"/>
        <v>7.8650000000000002</v>
      </c>
      <c r="Y36" s="45">
        <f t="shared" si="18"/>
        <v>3.0514939605848697</v>
      </c>
      <c r="Z36" s="104">
        <v>12</v>
      </c>
      <c r="AA36" s="108">
        <f t="shared" si="19"/>
        <v>94.38</v>
      </c>
    </row>
    <row r="37" spans="1:27" ht="17.25" customHeight="1" x14ac:dyDescent="0.25">
      <c r="A37" s="19"/>
      <c r="B37" s="86" t="s">
        <v>49</v>
      </c>
      <c r="C37" s="26" t="s">
        <v>66</v>
      </c>
      <c r="D37" s="27">
        <v>21.5</v>
      </c>
      <c r="E37" s="35">
        <v>7.2</v>
      </c>
      <c r="F37" s="28">
        <f t="shared" si="9"/>
        <v>8.7119999999999997</v>
      </c>
      <c r="G37" s="45">
        <f t="shared" si="10"/>
        <v>2.4678604224058769</v>
      </c>
      <c r="H37" s="104">
        <v>12</v>
      </c>
      <c r="I37" s="108">
        <f t="shared" si="2"/>
        <v>104.544</v>
      </c>
      <c r="J37" s="20"/>
      <c r="K37" s="25" t="s">
        <v>28</v>
      </c>
      <c r="L37" s="41" t="s">
        <v>19</v>
      </c>
      <c r="M37" s="42">
        <v>26.5</v>
      </c>
      <c r="N37" s="29">
        <v>8.9600000000000009</v>
      </c>
      <c r="O37" s="28">
        <f t="shared" si="3"/>
        <v>10.841600000000001</v>
      </c>
      <c r="P37" s="45">
        <f t="shared" si="4"/>
        <v>2.4442886658795748</v>
      </c>
      <c r="Q37" s="104">
        <v>12</v>
      </c>
      <c r="R37" s="108">
        <f t="shared" si="5"/>
        <v>130.09920000000002</v>
      </c>
      <c r="T37" s="86" t="s">
        <v>27</v>
      </c>
      <c r="U37" s="26" t="s">
        <v>68</v>
      </c>
      <c r="V37" s="27">
        <v>18.5</v>
      </c>
      <c r="W37" s="35">
        <v>5.35</v>
      </c>
      <c r="X37" s="28">
        <f t="shared" si="17"/>
        <v>6.4734999999999996</v>
      </c>
      <c r="Y37" s="45">
        <f t="shared" si="18"/>
        <v>2.85780489688731</v>
      </c>
      <c r="Z37" s="104">
        <v>12</v>
      </c>
      <c r="AA37" s="108">
        <f t="shared" si="19"/>
        <v>77.681999999999988</v>
      </c>
    </row>
    <row r="38" spans="1:27" ht="17.25" customHeight="1" x14ac:dyDescent="0.25">
      <c r="A38" s="13" t="s">
        <v>5</v>
      </c>
      <c r="C38" s="4"/>
      <c r="D38" s="5"/>
      <c r="E38" s="6"/>
      <c r="F38" s="28"/>
      <c r="G38" s="45"/>
      <c r="H38" s="103"/>
      <c r="I38" s="108"/>
      <c r="J38" s="20"/>
      <c r="K38" s="25" t="s">
        <v>28</v>
      </c>
      <c r="L38" s="41" t="s">
        <v>90</v>
      </c>
      <c r="M38" s="42">
        <v>37.5</v>
      </c>
      <c r="N38" s="33">
        <v>17.190000000000001</v>
      </c>
      <c r="O38" s="28">
        <f t="shared" si="3"/>
        <v>20.799900000000001</v>
      </c>
      <c r="P38" s="45">
        <f t="shared" si="4"/>
        <v>1.8028932831407842</v>
      </c>
      <c r="Q38" s="104">
        <v>12</v>
      </c>
      <c r="R38" s="108">
        <f t="shared" si="5"/>
        <v>249.59880000000001</v>
      </c>
      <c r="T38" s="86" t="s">
        <v>27</v>
      </c>
      <c r="U38" s="26" t="s">
        <v>94</v>
      </c>
      <c r="V38" s="43">
        <v>12.5</v>
      </c>
      <c r="W38" s="33">
        <v>3</v>
      </c>
      <c r="X38" s="28">
        <f>W38*1.21</f>
        <v>3.63</v>
      </c>
      <c r="Y38" s="45">
        <f t="shared" si="18"/>
        <v>3.443526170798898</v>
      </c>
      <c r="Z38" s="104">
        <v>12</v>
      </c>
      <c r="AA38" s="108">
        <f t="shared" si="19"/>
        <v>43.56</v>
      </c>
    </row>
    <row r="39" spans="1:27" ht="17.25" customHeight="1" x14ac:dyDescent="0.25">
      <c r="A39" s="19"/>
      <c r="B39" s="13"/>
      <c r="C39" s="13"/>
      <c r="D39" s="13"/>
      <c r="E39" s="13"/>
      <c r="F39" s="13"/>
      <c r="G39" s="45"/>
      <c r="H39" s="103"/>
      <c r="I39" s="108"/>
      <c r="J39" s="61">
        <v>5</v>
      </c>
      <c r="K39" s="50" t="s">
        <v>27</v>
      </c>
      <c r="L39" s="65" t="s">
        <v>91</v>
      </c>
      <c r="M39" s="66">
        <v>40.5</v>
      </c>
      <c r="N39" s="67">
        <v>19</v>
      </c>
      <c r="O39" s="28">
        <f t="shared" si="3"/>
        <v>22.99</v>
      </c>
      <c r="P39" s="45">
        <f t="shared" si="4"/>
        <v>1.7616354936929102</v>
      </c>
      <c r="Q39" s="104">
        <v>12</v>
      </c>
      <c r="R39" s="108">
        <f t="shared" si="5"/>
        <v>275.88</v>
      </c>
      <c r="T39" s="86" t="s">
        <v>27</v>
      </c>
      <c r="U39" s="26" t="s">
        <v>10</v>
      </c>
      <c r="V39" s="27">
        <v>18.5</v>
      </c>
      <c r="W39" s="33">
        <v>5.5</v>
      </c>
      <c r="X39" s="28">
        <f t="shared" ref="X39:X47" si="20">W39*1.21</f>
        <v>6.6549999999999994</v>
      </c>
      <c r="Y39" s="45">
        <f t="shared" si="18"/>
        <v>2.779864763335838</v>
      </c>
      <c r="Z39" s="104">
        <v>12</v>
      </c>
      <c r="AA39" s="108">
        <f t="shared" si="19"/>
        <v>79.859999999999985</v>
      </c>
    </row>
    <row r="40" spans="1:27" ht="17.25" customHeight="1" x14ac:dyDescent="0.25">
      <c r="A40" s="19">
        <v>2</v>
      </c>
      <c r="B40" s="86" t="s">
        <v>27</v>
      </c>
      <c r="C40" s="26" t="s">
        <v>67</v>
      </c>
      <c r="D40" s="27">
        <v>16.5</v>
      </c>
      <c r="E40" s="35">
        <v>3.5</v>
      </c>
      <c r="F40" s="28">
        <f t="shared" si="9"/>
        <v>4.2349999999999994</v>
      </c>
      <c r="G40" s="45">
        <f t="shared" si="10"/>
        <v>3.8961038961038965</v>
      </c>
      <c r="H40" s="104">
        <v>12</v>
      </c>
      <c r="I40" s="108">
        <f t="shared" si="2"/>
        <v>50.819999999999993</v>
      </c>
      <c r="J40" s="20"/>
      <c r="K40" s="46" t="s">
        <v>28</v>
      </c>
      <c r="L40" s="72" t="s">
        <v>92</v>
      </c>
      <c r="M40" s="73"/>
      <c r="N40" s="58">
        <v>22.03</v>
      </c>
      <c r="O40" s="64">
        <f t="shared" si="3"/>
        <v>26.656300000000002</v>
      </c>
      <c r="P40" s="45"/>
      <c r="Q40" s="106"/>
      <c r="R40" s="108"/>
      <c r="T40" s="86" t="s">
        <v>27</v>
      </c>
      <c r="U40" s="31" t="s">
        <v>96</v>
      </c>
      <c r="V40" s="32">
        <v>18.5</v>
      </c>
      <c r="W40" s="33">
        <v>5.2</v>
      </c>
      <c r="X40" s="28">
        <f t="shared" si="20"/>
        <v>6.2919999999999998</v>
      </c>
      <c r="Y40" s="45">
        <f t="shared" si="18"/>
        <v>2.9402415766052132</v>
      </c>
      <c r="Z40" s="104">
        <v>12</v>
      </c>
      <c r="AA40" s="108">
        <f t="shared" si="19"/>
        <v>75.503999999999991</v>
      </c>
    </row>
    <row r="41" spans="1:27" ht="17.25" customHeight="1" x14ac:dyDescent="0.25">
      <c r="A41" s="18"/>
      <c r="B41" s="86" t="s">
        <v>27</v>
      </c>
      <c r="C41" s="26" t="s">
        <v>85</v>
      </c>
      <c r="D41" s="43">
        <v>24</v>
      </c>
      <c r="E41" s="35">
        <v>6.5</v>
      </c>
      <c r="F41" s="28">
        <f t="shared" si="9"/>
        <v>7.8650000000000002</v>
      </c>
      <c r="G41" s="45">
        <f t="shared" si="10"/>
        <v>3.0514939605848697</v>
      </c>
      <c r="H41" s="104">
        <v>12</v>
      </c>
      <c r="I41" s="108">
        <f t="shared" si="2"/>
        <v>94.38</v>
      </c>
      <c r="J41" s="20"/>
      <c r="K41" s="46" t="s">
        <v>33</v>
      </c>
      <c r="L41" s="72" t="s">
        <v>93</v>
      </c>
      <c r="M41" s="73"/>
      <c r="N41" s="58">
        <v>27.71</v>
      </c>
      <c r="O41" s="64">
        <f t="shared" si="3"/>
        <v>33.5291</v>
      </c>
      <c r="P41" s="45"/>
      <c r="Q41" s="106"/>
      <c r="R41" s="108"/>
      <c r="T41" s="86" t="s">
        <v>27</v>
      </c>
      <c r="U41" s="31" t="s">
        <v>82</v>
      </c>
      <c r="V41" s="37">
        <v>16.5</v>
      </c>
      <c r="W41" s="33">
        <v>4.2</v>
      </c>
      <c r="X41" s="28">
        <f t="shared" si="20"/>
        <v>5.0819999999999999</v>
      </c>
      <c r="Y41" s="45">
        <f t="shared" si="18"/>
        <v>3.2467532467532467</v>
      </c>
      <c r="Z41" s="104">
        <v>12</v>
      </c>
      <c r="AA41" s="108">
        <f t="shared" si="19"/>
        <v>60.983999999999995</v>
      </c>
    </row>
    <row r="42" spans="1:27" ht="17.25" customHeight="1" x14ac:dyDescent="0.25">
      <c r="A42" s="18"/>
      <c r="B42" s="86" t="s">
        <v>27</v>
      </c>
      <c r="C42" s="26" t="s">
        <v>68</v>
      </c>
      <c r="D42" s="27">
        <v>18.5</v>
      </c>
      <c r="E42" s="35">
        <v>5.35</v>
      </c>
      <c r="F42" s="28">
        <f t="shared" si="9"/>
        <v>6.4734999999999996</v>
      </c>
      <c r="G42" s="45">
        <f t="shared" si="10"/>
        <v>2.85780489688731</v>
      </c>
      <c r="H42" s="104">
        <v>12</v>
      </c>
      <c r="I42" s="108">
        <f t="shared" si="2"/>
        <v>77.681999999999988</v>
      </c>
      <c r="K42" s="46" t="s">
        <v>28</v>
      </c>
      <c r="L42" s="72" t="s">
        <v>20</v>
      </c>
      <c r="M42" s="73"/>
      <c r="N42" s="58">
        <v>28.32</v>
      </c>
      <c r="O42" s="64">
        <f t="shared" si="3"/>
        <v>34.267200000000003</v>
      </c>
      <c r="P42" s="45"/>
      <c r="Q42" s="106"/>
      <c r="R42" s="108"/>
      <c r="T42" s="86" t="s">
        <v>27</v>
      </c>
      <c r="U42" s="31" t="s">
        <v>83</v>
      </c>
      <c r="V42" s="37">
        <v>27.5</v>
      </c>
      <c r="W42" s="33">
        <v>8</v>
      </c>
      <c r="X42" s="28">
        <f t="shared" si="20"/>
        <v>9.68</v>
      </c>
      <c r="Y42" s="45">
        <f t="shared" si="18"/>
        <v>2.8409090909090908</v>
      </c>
      <c r="Z42" s="104">
        <v>12</v>
      </c>
      <c r="AA42" s="108">
        <f t="shared" si="19"/>
        <v>116.16</v>
      </c>
    </row>
    <row r="43" spans="1:27" ht="17.25" customHeight="1" x14ac:dyDescent="0.25">
      <c r="A43" s="13" t="s">
        <v>36</v>
      </c>
      <c r="C43" s="4"/>
      <c r="D43" s="5"/>
      <c r="E43" s="6"/>
      <c r="F43" s="28"/>
      <c r="G43" s="45"/>
      <c r="H43" s="103"/>
      <c r="I43" s="108"/>
      <c r="K43" s="68"/>
      <c r="L43" s="69"/>
      <c r="M43" s="70"/>
      <c r="N43" s="71"/>
      <c r="O43" s="28"/>
      <c r="P43" s="45"/>
      <c r="Q43" s="106"/>
      <c r="R43" s="108"/>
      <c r="T43" s="86" t="s">
        <v>27</v>
      </c>
      <c r="U43" s="31" t="s">
        <v>84</v>
      </c>
      <c r="V43" s="32">
        <v>21.5</v>
      </c>
      <c r="W43" s="33">
        <v>6</v>
      </c>
      <c r="X43" s="28">
        <f t="shared" si="20"/>
        <v>7.26</v>
      </c>
      <c r="Y43" s="45">
        <f t="shared" si="18"/>
        <v>2.9614325068870526</v>
      </c>
      <c r="Z43" s="104">
        <v>12</v>
      </c>
      <c r="AA43" s="108">
        <f t="shared" si="19"/>
        <v>87.12</v>
      </c>
    </row>
    <row r="44" spans="1:27" ht="17.25" customHeight="1" x14ac:dyDescent="0.25">
      <c r="B44" s="13"/>
      <c r="C44" s="13"/>
      <c r="D44" s="13"/>
      <c r="E44" s="13"/>
      <c r="F44" s="13"/>
      <c r="G44" s="45"/>
      <c r="H44" s="103"/>
      <c r="I44" s="108"/>
      <c r="J44" s="60"/>
      <c r="O44" s="28"/>
      <c r="P44" s="45"/>
      <c r="Q44" s="106"/>
      <c r="R44" s="108"/>
      <c r="T44" s="86" t="s">
        <v>27</v>
      </c>
      <c r="U44" s="41" t="s">
        <v>86</v>
      </c>
      <c r="V44" s="42">
        <v>17.5</v>
      </c>
      <c r="W44" s="33">
        <v>4.7</v>
      </c>
      <c r="X44" s="28">
        <f t="shared" si="20"/>
        <v>5.6870000000000003</v>
      </c>
      <c r="Y44" s="45">
        <f t="shared" si="18"/>
        <v>3.077193599437313</v>
      </c>
      <c r="Z44" s="104">
        <v>12</v>
      </c>
      <c r="AA44" s="108">
        <f t="shared" si="19"/>
        <v>68.244</v>
      </c>
    </row>
    <row r="45" spans="1:27" ht="18.75" customHeight="1" x14ac:dyDescent="0.25">
      <c r="B45" s="87" t="s">
        <v>33</v>
      </c>
      <c r="C45" s="47" t="s">
        <v>6</v>
      </c>
      <c r="D45" s="48"/>
      <c r="E45" s="49">
        <v>7.5</v>
      </c>
      <c r="F45" s="45">
        <f t="shared" si="9"/>
        <v>9.0749999999999993</v>
      </c>
      <c r="G45" s="45"/>
      <c r="H45" s="104"/>
      <c r="I45" s="108"/>
      <c r="J45" s="60"/>
      <c r="K45" s="91" t="s">
        <v>36</v>
      </c>
      <c r="L45" s="91"/>
      <c r="M45" s="91"/>
      <c r="N45" s="81"/>
      <c r="O45" s="54"/>
      <c r="P45" s="45"/>
      <c r="Q45" s="106"/>
      <c r="R45" s="108"/>
      <c r="T45" s="86" t="s">
        <v>27</v>
      </c>
      <c r="U45" s="41" t="s">
        <v>88</v>
      </c>
      <c r="V45" s="42">
        <v>33.5</v>
      </c>
      <c r="W45" s="33">
        <v>9.15</v>
      </c>
      <c r="X45" s="28">
        <f t="shared" si="20"/>
        <v>11.0715</v>
      </c>
      <c r="Y45" s="45">
        <f t="shared" si="18"/>
        <v>3.0257869304069005</v>
      </c>
      <c r="Z45" s="104">
        <v>12</v>
      </c>
      <c r="AA45" s="108">
        <f t="shared" si="19"/>
        <v>132.858</v>
      </c>
    </row>
    <row r="46" spans="1:27" ht="18.75" customHeight="1" x14ac:dyDescent="0.25">
      <c r="B46" s="87" t="s">
        <v>33</v>
      </c>
      <c r="C46" s="47" t="s">
        <v>7</v>
      </c>
      <c r="D46" s="48"/>
      <c r="E46" s="49">
        <v>12.41</v>
      </c>
      <c r="F46" s="45">
        <f t="shared" si="9"/>
        <v>15.0161</v>
      </c>
      <c r="G46" s="45"/>
      <c r="H46" s="104"/>
      <c r="I46" s="108"/>
      <c r="J46" s="60"/>
      <c r="K46" s="22" t="s">
        <v>33</v>
      </c>
      <c r="L46" s="14" t="s">
        <v>43</v>
      </c>
      <c r="M46" s="62">
        <v>31</v>
      </c>
      <c r="N46" s="16">
        <v>20.45</v>
      </c>
      <c r="O46" s="63"/>
      <c r="P46" s="45"/>
      <c r="Q46" s="106"/>
      <c r="R46" s="108"/>
      <c r="T46" s="86" t="s">
        <v>27</v>
      </c>
      <c r="U46" s="41" t="s">
        <v>89</v>
      </c>
      <c r="V46" s="42">
        <v>22.5</v>
      </c>
      <c r="W46" s="33">
        <v>6.85</v>
      </c>
      <c r="X46" s="28">
        <f t="shared" si="20"/>
        <v>8.2884999999999991</v>
      </c>
      <c r="Y46" s="45">
        <f t="shared" si="18"/>
        <v>2.7146045726005914</v>
      </c>
      <c r="Z46" s="104">
        <v>12</v>
      </c>
      <c r="AA46" s="108">
        <f t="shared" si="19"/>
        <v>99.461999999999989</v>
      </c>
    </row>
    <row r="47" spans="1:27" ht="18.75" customHeight="1" x14ac:dyDescent="0.25">
      <c r="D47" s="3"/>
      <c r="G47" s="45"/>
      <c r="H47" s="103"/>
      <c r="I47" s="108"/>
      <c r="J47" s="60"/>
      <c r="P47" s="45"/>
      <c r="Q47" s="106"/>
      <c r="R47" s="108"/>
      <c r="T47" s="86" t="s">
        <v>27</v>
      </c>
      <c r="U47" s="41" t="s">
        <v>91</v>
      </c>
      <c r="V47" s="42">
        <v>40.5</v>
      </c>
      <c r="W47" s="29">
        <v>19</v>
      </c>
      <c r="X47" s="28">
        <f t="shared" si="20"/>
        <v>22.99</v>
      </c>
      <c r="Y47" s="45">
        <f t="shared" si="18"/>
        <v>1.7616354936929102</v>
      </c>
      <c r="Z47" s="104">
        <v>12</v>
      </c>
      <c r="AA47" s="108">
        <f t="shared" si="19"/>
        <v>275.88</v>
      </c>
    </row>
    <row r="48" spans="1:27" ht="18.75" customHeight="1" x14ac:dyDescent="0.25">
      <c r="D48" s="24"/>
      <c r="E48" s="23"/>
      <c r="F48" s="36"/>
      <c r="G48" s="45"/>
      <c r="H48" s="103"/>
      <c r="I48" s="108"/>
      <c r="J48" s="60"/>
      <c r="K48" s="89" t="s">
        <v>11</v>
      </c>
      <c r="L48" s="89"/>
      <c r="M48" s="89"/>
      <c r="N48" s="89"/>
      <c r="O48" s="10"/>
      <c r="P48" s="45"/>
      <c r="Q48" s="106"/>
      <c r="R48" s="108"/>
      <c r="T48" s="109"/>
      <c r="U48" s="110"/>
      <c r="V48" s="111"/>
      <c r="W48" s="112"/>
      <c r="X48" s="113"/>
      <c r="Y48" s="114"/>
      <c r="Z48" s="115"/>
      <c r="AA48" s="117">
        <f>SUM(AA35:AA47)</f>
        <v>1262.5140000000001</v>
      </c>
    </row>
    <row r="49" spans="2:27" ht="18.75" customHeight="1" x14ac:dyDescent="0.25">
      <c r="B49" s="92" t="s">
        <v>8</v>
      </c>
      <c r="C49" s="92"/>
      <c r="D49" s="92"/>
      <c r="E49" s="79"/>
      <c r="F49" s="2"/>
      <c r="G49" s="45"/>
      <c r="H49" s="103"/>
      <c r="I49" s="108"/>
      <c r="K49" s="25" t="s">
        <v>37</v>
      </c>
      <c r="L49" s="26" t="s">
        <v>12</v>
      </c>
      <c r="M49" s="27">
        <v>55</v>
      </c>
      <c r="N49" s="33">
        <v>34.97</v>
      </c>
      <c r="O49" s="28">
        <f>N49*1.21</f>
        <v>42.313699999999997</v>
      </c>
      <c r="P49" s="45">
        <f t="shared" si="4"/>
        <v>1.2998154262094783</v>
      </c>
      <c r="Q49" s="106"/>
      <c r="R49" s="108"/>
    </row>
    <row r="50" spans="2:27" ht="18.75" customHeight="1" x14ac:dyDescent="0.25">
      <c r="B50" s="25" t="s">
        <v>27</v>
      </c>
      <c r="C50" s="26" t="s">
        <v>94</v>
      </c>
      <c r="D50" s="43">
        <v>12.5</v>
      </c>
      <c r="E50" s="33">
        <v>3</v>
      </c>
      <c r="F50" s="28">
        <f>E50*1.21</f>
        <v>3.63</v>
      </c>
      <c r="G50" s="45">
        <f t="shared" si="10"/>
        <v>3.443526170798898</v>
      </c>
      <c r="H50" s="104">
        <v>12</v>
      </c>
      <c r="I50" s="108">
        <f t="shared" si="2"/>
        <v>43.56</v>
      </c>
      <c r="K50" s="25"/>
      <c r="L50" s="26"/>
      <c r="M50" s="27"/>
      <c r="N50" s="33">
        <v>0</v>
      </c>
      <c r="O50" s="28">
        <f>N50*1.21</f>
        <v>0</v>
      </c>
      <c r="P50" s="45"/>
      <c r="Q50" s="106"/>
      <c r="R50" s="108"/>
      <c r="T50" s="86" t="s">
        <v>58</v>
      </c>
      <c r="U50" s="26" t="s">
        <v>4</v>
      </c>
      <c r="V50" s="27">
        <v>18.5</v>
      </c>
      <c r="W50" s="29">
        <v>4.5</v>
      </c>
      <c r="X50" s="28">
        <f t="shared" ref="X50" si="21">W50*1.21</f>
        <v>5.4450000000000003</v>
      </c>
      <c r="Y50" s="45">
        <f t="shared" ref="Y50" si="22">V50/X50</f>
        <v>3.3976124885215793</v>
      </c>
      <c r="Z50" s="104">
        <v>12</v>
      </c>
      <c r="AA50" s="108">
        <f t="shared" ref="AA50" si="23">Z50*X50</f>
        <v>65.34</v>
      </c>
    </row>
    <row r="51" spans="2:27" ht="18.75" customHeight="1" x14ac:dyDescent="0.25">
      <c r="B51" s="25" t="s">
        <v>40</v>
      </c>
      <c r="C51" s="26" t="s">
        <v>9</v>
      </c>
      <c r="D51" s="27">
        <v>13.5</v>
      </c>
      <c r="E51" s="33">
        <v>3.15</v>
      </c>
      <c r="F51" s="28">
        <f t="shared" ref="F51:F52" si="24">E51*1.21</f>
        <v>3.8114999999999997</v>
      </c>
      <c r="G51" s="45">
        <f t="shared" si="10"/>
        <v>3.5419126328217239</v>
      </c>
      <c r="H51" s="104"/>
      <c r="I51" s="108"/>
      <c r="L51" s="4"/>
      <c r="M51" s="5"/>
      <c r="O51" s="10"/>
      <c r="P51" s="45"/>
      <c r="Q51" s="106"/>
      <c r="R51" s="108"/>
    </row>
    <row r="52" spans="2:27" ht="18.75" x14ac:dyDescent="0.25">
      <c r="B52" s="25" t="s">
        <v>39</v>
      </c>
      <c r="C52" s="26" t="s">
        <v>10</v>
      </c>
      <c r="D52" s="27">
        <v>18.5</v>
      </c>
      <c r="E52" s="33">
        <v>5.5</v>
      </c>
      <c r="F52" s="28">
        <f t="shared" si="24"/>
        <v>6.6549999999999994</v>
      </c>
      <c r="G52" s="45">
        <f t="shared" si="10"/>
        <v>2.779864763335838</v>
      </c>
      <c r="H52" s="104">
        <v>12</v>
      </c>
      <c r="I52" s="108">
        <f t="shared" si="2"/>
        <v>79.859999999999985</v>
      </c>
      <c r="K52" s="89" t="s">
        <v>13</v>
      </c>
      <c r="L52" s="89"/>
      <c r="M52" s="89"/>
      <c r="N52" s="89"/>
      <c r="O52" s="10"/>
      <c r="P52" s="45"/>
      <c r="Q52" s="106"/>
      <c r="R52" s="108"/>
      <c r="T52" s="86" t="s">
        <v>33</v>
      </c>
      <c r="U52" s="26" t="s">
        <v>97</v>
      </c>
      <c r="V52" s="27">
        <v>20.5</v>
      </c>
      <c r="W52" s="29">
        <v>6.38</v>
      </c>
      <c r="X52" s="28">
        <f t="shared" ref="X52" si="25">W52*1.21</f>
        <v>7.7197999999999993</v>
      </c>
      <c r="Y52" s="45">
        <f t="shared" ref="Y52" si="26">V52/X52</f>
        <v>2.6555092100831632</v>
      </c>
      <c r="Z52" s="104">
        <v>12</v>
      </c>
      <c r="AA52" s="108">
        <f t="shared" ref="AA52" si="27">Z52*X52</f>
        <v>92.637599999999992</v>
      </c>
    </row>
    <row r="53" spans="2:27" x14ac:dyDescent="0.25">
      <c r="B53" s="25"/>
      <c r="C53" s="26"/>
      <c r="D53" s="30"/>
      <c r="E53" s="33"/>
      <c r="F53" s="28"/>
      <c r="G53" s="45"/>
      <c r="H53" s="104"/>
      <c r="I53" s="108"/>
      <c r="K53" s="25" t="s">
        <v>38</v>
      </c>
      <c r="L53" s="26" t="s">
        <v>14</v>
      </c>
      <c r="M53" s="27">
        <v>25</v>
      </c>
      <c r="N53" s="33">
        <v>15.21</v>
      </c>
      <c r="O53" s="28">
        <f>N53*1.21</f>
        <v>18.4041</v>
      </c>
      <c r="P53" s="45">
        <f t="shared" si="4"/>
        <v>1.3583929667845751</v>
      </c>
      <c r="Q53" s="106"/>
      <c r="R53" s="108"/>
      <c r="X53" s="11"/>
    </row>
    <row r="54" spans="2:27" x14ac:dyDescent="0.25">
      <c r="K54" s="25" t="s">
        <v>38</v>
      </c>
      <c r="L54" s="26" t="s">
        <v>16</v>
      </c>
      <c r="M54" s="27">
        <v>31</v>
      </c>
      <c r="N54" s="33">
        <v>21.57</v>
      </c>
      <c r="O54" s="28">
        <f>N54*1.21</f>
        <v>26.099699999999999</v>
      </c>
      <c r="P54" s="45">
        <f t="shared" si="4"/>
        <v>1.1877531159361985</v>
      </c>
      <c r="Q54" s="106"/>
      <c r="R54" s="108"/>
      <c r="T54" s="25" t="s">
        <v>28</v>
      </c>
      <c r="U54" s="41" t="s">
        <v>19</v>
      </c>
      <c r="V54" s="42">
        <v>26.5</v>
      </c>
      <c r="W54" s="29">
        <v>8.9600000000000009</v>
      </c>
      <c r="X54" s="28">
        <f t="shared" ref="X54:X55" si="28">W54*1.21</f>
        <v>10.841600000000001</v>
      </c>
      <c r="Y54" s="45">
        <f t="shared" ref="Y54:Y55" si="29">V54/X54</f>
        <v>2.4442886658795748</v>
      </c>
      <c r="Z54" s="104">
        <v>12</v>
      </c>
      <c r="AA54" s="108">
        <f t="shared" ref="AA54:AA55" si="30">Z54*X54</f>
        <v>130.09920000000002</v>
      </c>
    </row>
    <row r="55" spans="2:27" x14ac:dyDescent="0.25">
      <c r="K55" s="25" t="s">
        <v>32</v>
      </c>
      <c r="L55" s="26" t="s">
        <v>15</v>
      </c>
      <c r="M55" s="27">
        <v>26</v>
      </c>
      <c r="N55" s="33">
        <v>13.19</v>
      </c>
      <c r="O55" s="28">
        <f>N55*1.21</f>
        <v>15.959899999999999</v>
      </c>
      <c r="P55" s="45">
        <f t="shared" si="4"/>
        <v>1.6290828889905327</v>
      </c>
      <c r="Q55" s="106"/>
      <c r="R55" s="108"/>
      <c r="T55" s="25" t="s">
        <v>28</v>
      </c>
      <c r="U55" s="41" t="s">
        <v>90</v>
      </c>
      <c r="V55" s="42">
        <v>37.5</v>
      </c>
      <c r="W55" s="33">
        <v>17.190000000000001</v>
      </c>
      <c r="X55" s="28">
        <f t="shared" si="28"/>
        <v>20.799900000000001</v>
      </c>
      <c r="Y55" s="45">
        <f t="shared" si="29"/>
        <v>1.8028932831407842</v>
      </c>
      <c r="Z55" s="104">
        <v>12</v>
      </c>
      <c r="AA55" s="108">
        <f t="shared" si="30"/>
        <v>249.59880000000001</v>
      </c>
    </row>
    <row r="56" spans="2:27" x14ac:dyDescent="0.25">
      <c r="L56" s="4"/>
      <c r="M56" s="5"/>
      <c r="O56" s="10"/>
      <c r="P56" s="10"/>
      <c r="Q56" s="106"/>
      <c r="R56" s="108"/>
    </row>
    <row r="57" spans="2:27" ht="18.75" x14ac:dyDescent="0.25">
      <c r="K57" s="89" t="s">
        <v>17</v>
      </c>
      <c r="L57" s="89"/>
      <c r="M57" s="89"/>
      <c r="N57" s="89"/>
      <c r="O57" s="10"/>
      <c r="P57" s="10"/>
      <c r="Q57" s="106"/>
      <c r="R57" s="108"/>
    </row>
    <row r="58" spans="2:27" x14ac:dyDescent="0.25">
      <c r="Q58" s="106"/>
      <c r="R58" s="108"/>
    </row>
    <row r="59" spans="2:27" x14ac:dyDescent="0.25">
      <c r="Q59" s="106"/>
      <c r="R59" s="108"/>
    </row>
    <row r="60" spans="2:27" x14ac:dyDescent="0.25">
      <c r="Q60" s="106"/>
      <c r="R60" s="108"/>
    </row>
    <row r="61" spans="2:27" ht="33.75" x14ac:dyDescent="0.25">
      <c r="C61" s="24"/>
      <c r="D61" s="24"/>
      <c r="E61" s="23"/>
      <c r="F61" s="36"/>
      <c r="G61" s="36"/>
      <c r="H61" s="101"/>
      <c r="I61" s="98"/>
      <c r="Q61" s="101"/>
      <c r="R61" s="98"/>
    </row>
    <row r="62" spans="2:27" ht="33.75" x14ac:dyDescent="0.25">
      <c r="C62" s="24"/>
      <c r="D62" s="24"/>
      <c r="E62" s="23"/>
      <c r="F62" s="23"/>
      <c r="G62" s="23"/>
      <c r="H62" s="102"/>
      <c r="I62" s="99"/>
      <c r="Q62" s="102"/>
      <c r="R62" s="99"/>
    </row>
  </sheetData>
  <mergeCells count="14">
    <mergeCell ref="T13:U13"/>
    <mergeCell ref="B49:D49"/>
    <mergeCell ref="K57:N57"/>
    <mergeCell ref="K24:M24"/>
    <mergeCell ref="K33:M33"/>
    <mergeCell ref="K45:M45"/>
    <mergeCell ref="K48:N48"/>
    <mergeCell ref="K52:N52"/>
    <mergeCell ref="K9:M9"/>
    <mergeCell ref="K12:M12"/>
    <mergeCell ref="K18:M18"/>
    <mergeCell ref="K21:M21"/>
    <mergeCell ref="B3:D3"/>
    <mergeCell ref="K3:M3"/>
  </mergeCells>
  <phoneticPr fontId="1" type="noConversion"/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VINOS (PVP)</vt:lpstr>
      <vt:lpstr>BASE VINOS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Luis Caba Noblejas</cp:lastModifiedBy>
  <cp:lastPrinted>2021-12-01T12:59:34Z</cp:lastPrinted>
  <dcterms:created xsi:type="dcterms:W3CDTF">2015-06-05T18:19:34Z</dcterms:created>
  <dcterms:modified xsi:type="dcterms:W3CDTF">2024-08-26T16:35:11Z</dcterms:modified>
</cp:coreProperties>
</file>